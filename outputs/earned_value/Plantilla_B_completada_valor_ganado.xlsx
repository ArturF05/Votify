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4388a0036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os Flujo de Caja" sheetId="1" r:id="R318c7a11d7494036"/>
    <x:sheet xmlns:r="http://schemas.openxmlformats.org/officeDocument/2006/relationships" name="Caminocrítico" sheetId="2" r:id="R2fdf90f7bda9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19">
    <x:font>
      <x:sz val="11"/>
      <x:color theme="1"/>
      <x:name val="Calibri"/>
    </x:font>
    <x:font>
      <x:sz val="12"/>
      <x:color theme="1"/>
      <x:name val="Times New Roman"/>
    </x:font>
    <x:font>
      <x:sz val="11"/>
      <x:color theme="1"/>
      <x:name val="Arial"/>
    </x:font>
    <x:font>
      <x:sz val="8"/>
      <x:color theme="1"/>
      <x:name val="Arial"/>
    </x:font>
    <x:font>
      <x:b/>
      <x:sz val="11"/>
      <x:color rgb="000000"/>
      <x:name val="Arial"/>
    </x:font>
    <x:font>
      <x:sz val="12"/>
      <x:color theme="1"/>
      <x:name val="Calibri"/>
    </x:font>
    <x:font>
      <x:b/>
      <x:sz val="14"/>
      <x:color theme="1"/>
      <x:name val="Calibri"/>
    </x:font>
    <x:font>
      <x:b/>
      <x:sz val="16"/>
      <x:color theme="1"/>
      <x:name val="Calibri"/>
    </x:font>
    <x:font>
      <x:sz val="16"/>
      <x:color theme="1"/>
      <x:name val="Calibri"/>
    </x:font>
    <x:font>
      <x:sz val="14"/>
      <x:color theme="1"/>
      <x:name val="Calibri"/>
    </x:font>
    <x:font>
      <x:sz val="11"/>
      <x:color theme="0"/>
      <x:name val="Arial"/>
    </x:font>
    <x:font>
      <x:sz val="18"/>
      <x:color theme="1"/>
      <x:name val="Calibri"/>
    </x:font>
    <x:font>
      <x:b/>
      <x:sz val="11"/>
      <x:color rgb="FFFFFF"/>
      <x:name val="Calibri"/>
    </x:font>
    <x:font>
      <x:b/>
      <x:sz val="11"/>
      <x:color rgb="0F172A"/>
      <x:name val="Calibri"/>
    </x:font>
    <x:font>
      <x:b/>
      <x:sz val="11"/>
      <x:color rgb="111827"/>
      <x:name val="Calibri"/>
    </x:font>
    <x:font>
      <x:b/>
      <x:sz val="11"/>
      <x:color rgb="166534"/>
      <x:name val="Calibri"/>
    </x:font>
    <x:font>
      <x:b/>
      <x:sz val="13"/>
      <x:color rgb="DC2626"/>
      <x:name val="Calibri"/>
    </x:font>
    <x:font>
      <x:b/>
      <x:sz val="11"/>
      <x:color rgb="991B1B"/>
      <x:name val="Calibri"/>
    </x:font>
    <x:font>
      <x:sz val="11"/>
      <x:color rgb="334155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6" tint="0.59999"/>
      </x:patternFill>
    </x:fill>
    <x:fill>
      <x:patternFill patternType="solid">
        <x:fgColor rgb="1F4E78"/>
      </x:patternFill>
    </x:fill>
    <x:fill>
      <x:patternFill patternType="solid">
        <x:fgColor rgb="E0F2FE"/>
      </x:patternFill>
    </x:fill>
    <x:fill>
      <x:patternFill patternType="solid">
        <x:fgColor rgb="DCFCE7"/>
      </x:patternFill>
    </x:fill>
    <x:fill>
      <x:patternFill patternType="solid">
        <x:fgColor rgb="FEE2E2"/>
      </x:patternFill>
    </x:fill>
    <x:fill>
      <x:patternFill patternType="solid">
        <x:fgColor rgb="FEF3C7"/>
      </x:patternFill>
    </x:fill>
    <x:fill>
      <x:patternFill patternType="solid">
        <x:fgColor rgb="E5E7EB"/>
      </x:patternFill>
    </x:fill>
    <x:fill>
      <x:patternFill patternType="solid">
        <x:fgColor rgb="93C5FD"/>
      </x:patternFill>
    </x:fill>
    <x:fill>
      <x:patternFill patternType="solid">
        <x:fgColor rgb="22C55E"/>
      </x:patternFill>
    </x:fill>
    <x:fill>
      <x:patternFill patternType="solid">
        <x:fgColor rgb="BBF7D0"/>
      </x:patternFill>
    </x:fill>
    <x:fill>
      <x:patternFill patternType="solid">
        <x:fgColor rgb="DBEAFE"/>
      </x:patternFill>
    </x:fill>
    <x:fill>
      <x:patternFill patternType="solid">
        <x:fgColor rgb="FCA5A5"/>
      </x:patternFill>
    </x:fill>
    <x:fill>
      <x:patternFill patternType="solid">
        <x:fgColor rgb="F8FAFC"/>
      </x:patternFill>
    </x:fill>
  </x:fills>
  <x:borders count="64">
    <x:border/>
    <x:border>
      <x:bottom style="thick">
        <x:color indexed="64"/>
      </x:bottom>
    </x:border>
    <x:border>
      <x:right style="thick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bottom style="medium">
        <x:color indexed="64"/>
      </x:bottom>
    </x:border>
    <x:border>
      <x:right style="thick">
        <x:color rgb="000000"/>
      </x:right>
      <x:bottom style="medium">
        <x:color indexed="64"/>
      </x:bottom>
    </x:border>
    <x:border>
      <x:left style="thick">
        <x:color rgb="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>
      <x:left style="thick">
        <x:color rgb="000000"/>
      </x:left>
      <x:top style="thick">
        <x:color rgb="000000"/>
      </x:top>
      <x:bottom style="medium">
        <x:color indexed="64"/>
      </x:bottom>
    </x:border>
    <x:border>
      <x:right style="medium">
        <x:color indexed="64"/>
      </x:right>
      <x:top style="thick">
        <x:color rgb="000000"/>
      </x:top>
      <x:bottom style="medium">
        <x:color indexed="64"/>
      </x:bottom>
    </x:border>
    <x:border>
      <x:left style="medium">
        <x:color indexed="64"/>
      </x:left>
      <x:top style="thick">
        <x:color rgb="000000"/>
      </x:top>
      <x:bottom style="medium">
        <x:color indexed="64"/>
      </x:bottom>
    </x:border>
    <x:border>
      <x:right style="thick">
        <x:color rgb="000000"/>
      </x:right>
      <x:top style="thick">
        <x:color rgb="000000"/>
      </x:top>
      <x:bottom style="medium">
        <x:color indexed="64"/>
      </x:bottom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left style="thick">
        <x:color rgb="000000"/>
      </x:left>
      <x:top style="thick">
        <x:color indexed="64"/>
      </x:top>
      <x:bottom style="medium">
        <x:color indexed="64"/>
      </x:bottom>
    </x:border>
    <x:border>
      <x:right style="medium">
        <x:color indexed="64"/>
      </x:right>
      <x:top style="thick">
        <x:color indexed="64"/>
      </x:top>
      <x:bottom style="medium">
        <x:color indexed="64"/>
      </x:bottom>
    </x:border>
    <x:border>
      <x:left style="medium">
        <x:color indexed="64"/>
      </x:left>
      <x:top style="thick">
        <x:color indexed="64"/>
      </x:top>
      <x:bottom style="medium">
        <x:color indexed="64"/>
      </x:bottom>
    </x:border>
    <x:border>
      <x:right style="thick">
        <x:color rgb="000000"/>
      </x:right>
      <x:top style="thick">
        <x:color indexed="64"/>
      </x:top>
      <x:bottom style="medium">
        <x:color indexed="64"/>
      </x:bottom>
    </x:border>
    <x:border>
      <x:left style="thick">
        <x:color indexed="64"/>
      </x:left>
      <x:top style="thick">
        <x:color indexed="64"/>
      </x:top>
      <x:bottom style="medium">
        <x:color indexed="64"/>
      </x:bottom>
    </x:border>
    <x:border>
      <x:right style="thick">
        <x:color rgb="000000"/>
      </x:right>
      <x:top style="medium">
        <x:color indexed="64"/>
      </x:top>
      <x:bottom style="medium">
        <x:color indexed="64"/>
      </x:bottom>
    </x:border>
    <x:border>
      <x:left style="thick">
        <x:color theme="1"/>
      </x:left>
      <x:top style="thick">
        <x:color theme="1"/>
      </x:top>
      <x:bottom style="medium">
        <x:color indexed="64"/>
      </x:bottom>
    </x:border>
    <x:border>
      <x:right style="medium">
        <x:color indexed="64"/>
      </x:right>
      <x:top style="thick">
        <x:color theme="1"/>
      </x:top>
      <x:bottom style="medium">
        <x:color indexed="64"/>
      </x:bottom>
    </x:border>
    <x:border>
      <x:left style="medium">
        <x:color indexed="64"/>
      </x:left>
      <x:top style="thick">
        <x:color theme="1"/>
      </x:top>
      <x:bottom style="medium">
        <x:color indexed="64"/>
      </x:bottom>
    </x:border>
    <x:border>
      <x:right style="thick">
        <x:color theme="1"/>
      </x:right>
      <x:top style="thick">
        <x:color theme="1"/>
      </x:top>
      <x:bottom style="medium">
        <x:color indexed="64"/>
      </x:bottom>
    </x:border>
    <x:border>
      <x:left style="thick">
        <x:color theme="1"/>
      </x:left>
      <x:right style="medium">
        <x:color indexed="64"/>
      </x:right>
      <x:bottom style="medium">
        <x:color indexed="64"/>
      </x:bottom>
    </x:border>
    <x:border>
      <x:right style="thick">
        <x:color theme="1"/>
      </x:right>
      <x:bottom style="medium">
        <x:color indexed="64"/>
      </x:bottom>
    </x:border>
    <x:border>
      <x:right style="thick">
        <x:color auto="1"/>
      </x:right>
      <x:top style="thick">
        <x:color auto="1"/>
      </x:top>
      <x:bottom style="medium">
        <x:color indexed="64"/>
      </x:bottom>
    </x:border>
    <x:border>
      <x:left style="thick">
        <x:color auto="1"/>
      </x:left>
      <x:right style="medium">
        <x:color indexed="64"/>
      </x:right>
      <x:bottom style="medium">
        <x:color indexed="64"/>
      </x:bottom>
    </x:border>
    <x:border>
      <x:right style="thick">
        <x:color auto="1"/>
      </x:right>
      <x:bottom style="medium">
        <x:color indexed="64"/>
      </x:bottom>
    </x:border>
    <x:border>
      <x:left style="thick">
        <x:color auto="1"/>
      </x:left>
      <x:top style="medium">
        <x:color indexed="64"/>
      </x:top>
      <x:bottom style="thick">
        <x:color auto="1"/>
      </x:bottom>
    </x:border>
    <x:border>
      <x:right style="medium">
        <x:color indexed="64"/>
      </x:right>
      <x:top style="medium">
        <x:color indexed="64"/>
      </x:top>
      <x:bottom style="thick">
        <x:color auto="1"/>
      </x:bottom>
    </x:border>
    <x:border>
      <x:left style="medium">
        <x:color indexed="64"/>
      </x:left>
      <x:top style="medium">
        <x:color indexed="64"/>
      </x:top>
      <x:bottom style="thick">
        <x:color auto="1"/>
      </x:bottom>
    </x:border>
    <x:border>
      <x:right style="thick">
        <x:color auto="1"/>
      </x:right>
      <x:top style="medium">
        <x:color indexed="64"/>
      </x:top>
      <x:bottom style="thick">
        <x:color auto="1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left style="thin">
        <x:color rgb="1F2937"/>
      </x:left>
      <x:top style="thin">
        <x:color rgb="1F2937"/>
      </x:top>
      <x:bottom style="thin">
        <x:color rgb="1F2937"/>
      </x:bottom>
    </x:border>
    <x:border>
      <x:top style="thin">
        <x:color rgb="1F2937"/>
      </x:top>
      <x:bottom style="thin">
        <x:color rgb="1F2937"/>
      </x:bottom>
    </x:border>
    <x:border>
      <x:right style="thin">
        <x:color rgb="1F2937"/>
      </x:right>
      <x:top style="thin">
        <x:color rgb="1F2937"/>
      </x:top>
      <x:bottom style="thin">
        <x:color rgb="1F2937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38BDF8"/>
      </x:left>
      <x:top style="thin">
        <x:color rgb="38BDF8"/>
      </x:top>
      <x:bottom style="thin">
        <x:color rgb="38BDF8"/>
      </x:bottom>
    </x:border>
    <x:border>
      <x:top style="thin">
        <x:color rgb="38BDF8"/>
      </x:top>
      <x:bottom style="thin">
        <x:color rgb="38BDF8"/>
      </x:bottom>
    </x:border>
    <x:border>
      <x:right style="thin">
        <x:color rgb="38BDF8"/>
      </x:right>
      <x:top style="thin">
        <x:color rgb="38BDF8"/>
      </x:top>
      <x:bottom style="thin">
        <x:color rgb="38BDF8"/>
      </x:bottom>
    </x:border>
    <x:border>
      <x:left style="thick"/>
    </x:border>
    <x:border>
      <x:left style="thick">
        <x:color rgb="DC2626"/>
      </x:left>
    </x:border>
    <x:border>
      <x:left style="thick"/>
      <x:top style="thin">
        <x:color rgb="CBD5E1"/>
      </x:top>
    </x:border>
    <x:border>
      <x:left style="thick">
        <x:color rgb="DC2626"/>
      </x:left>
      <x:top style="thin">
        <x:color rgb="CBD5E1"/>
      </x:top>
    </x:border>
    <x:border>
      <x:left style="thick"/>
      <x:bottom style="thin">
        <x:color rgb="CBD5E1"/>
      </x:bottom>
    </x:border>
    <x:border>
      <x:left style="thick">
        <x:color rgb="DC2626"/>
      </x:left>
      <x:bottom style="thin">
        <x:color rgb="CBD5E1"/>
      </x:bottom>
    </x:border>
    <x:border>
      <x:left style="thin">
        <x:color rgb="DC2626"/>
      </x:left>
      <x:top style="thin">
        <x:color rgb="DC2626"/>
      </x:top>
      <x:bottom style="thin">
        <x:color rgb="DC2626"/>
      </x:bottom>
    </x:border>
    <x:border>
      <x:right style="thin">
        <x:color rgb="DC2626"/>
      </x:right>
      <x:top style="thin">
        <x:color rgb="DC2626"/>
      </x:top>
      <x:bottom style="thin">
        <x:color rgb="DC2626"/>
      </x:bottom>
    </x:border>
  </x:borders>
  <x:cellStyleXfs count="2">
    <x:xf numFmtId="0" fontId="0" fillId="0" borderId="0"/>
    <x:xf numFmtId="0" fontId="5" fillId="0" borderId="0"/>
  </x:cellStyleXfs>
  <x:cellXfs count="210">
    <x:xf numFmtId="0" fontId="0" fillId="0" borderId="0" xfId="0"/>
    <x:xf numFmtId="0" fontId="0" fillId="0" borderId="0" xfId="0" applyAlignment="1">
      <x:alignment horizontal="center"/>
    </x:xf>
    <x:xf numFmtId="0" fontId="1" fillId="0" borderId="3" xfId="0" applyFont="1" applyBorder="1" applyAlignment="1">
      <x:alignment horizontal="center" vertical="top" wrapText="1"/>
    </x:xf>
    <x:xf numFmtId="0" fontId="1" fillId="0" borderId="4" xfId="0" applyFont="1" applyBorder="1" applyAlignment="1">
      <x:alignment horizontal="center" vertical="top" wrapText="1"/>
    </x:xf>
    <x:xf numFmtId="0" fontId="2" fillId="0" borderId="0" xfId="0" applyFont="1"/>
    <x:xf numFmtId="0" fontId="2" fillId="0" borderId="8" xfId="0" applyFont="1" applyBorder="1" applyAlignment="1">
      <x:alignment horizontal="center"/>
    </x:xf>
    <x:xf numFmtId="1" fontId="2" fillId="0" borderId="0" xfId="0" applyNumberFormat="1" applyFont="1" applyBorder="1" applyAlignment="1">
      <x:alignment horizontal="center"/>
    </x:xf>
    <x:xf numFmtId="1" fontId="2" fillId="0" borderId="10" xfId="0" applyNumberFormat="1" applyFont="1" applyBorder="1" applyAlignment="1">
      <x:alignment horizontal="center"/>
    </x:xf>
    <x:xf numFmtId="0" fontId="1" fillId="0" borderId="2" xfId="0" applyFont="1" applyBorder="1" applyAlignment="1">
      <x:alignment horizontal="center" vertical="top" wrapText="1"/>
    </x:xf>
    <x:xf numFmtId="0" fontId="1" fillId="0" borderId="0" xfId="0" applyFont="1" applyAlignment="1">
      <x:alignment horizontal="center" vertical="top" wrapText="1"/>
    </x:xf>
    <x:xf numFmtId="0" fontId="1" fillId="0" borderId="1" xfId="0" applyFont="1" applyBorder="1" applyAlignment="1">
      <x:alignment horizontal="center" vertical="top" wrapText="1"/>
    </x:xf>
    <x:xf numFmtId="1" fontId="1" fillId="0" borderId="6" xfId="0" applyNumberFormat="1" applyFont="1" applyBorder="1" applyAlignment="1">
      <x:alignment horizontal="center" vertical="top" wrapText="1"/>
    </x:xf>
    <x:xf numFmtId="0" fontId="1" fillId="0" borderId="7" xfId="0" applyFont="1" applyBorder="1" applyAlignment="1">
      <x:alignment horizontal="center" vertical="top" wrapText="1"/>
    </x:xf>
    <x:xf numFmtId="1" fontId="1" fillId="0" borderId="5" xfId="0" applyNumberFormat="1" applyFont="1" applyBorder="1" applyAlignment="1">
      <x:alignment horizontal="center" vertical="top" wrapText="1"/>
    </x:xf>
    <x:xf numFmtId="0" fontId="1" fillId="0" borderId="6" xfId="0" applyFont="1" applyBorder="1" applyAlignment="1">
      <x:alignment horizontal="center" vertical="top" wrapText="1"/>
    </x:xf>
    <x:xf numFmtId="0" fontId="3" fillId="0" borderId="0" xfId="0" applyFont="1" applyBorder="1"/>
    <x:xf numFmtId="0" fontId="2" fillId="0" borderId="0" xfId="0" applyFont="1" applyAlignment="1">
      <x:alignment horizontal="center" vertical="center"/>
    </x:xf>
    <x:xf numFmtId="0" fontId="2" fillId="0" borderId="16" xfId="0" applyFont="1" applyBorder="1" applyAlignment="1">
      <x:alignment horizontal="center"/>
    </x:xf>
    <x:xf numFmtId="0" fontId="2" fillId="0" borderId="15" xfId="0" applyFont="1" applyBorder="1" applyAlignment="1">
      <x:alignment horizontal="center"/>
    </x:xf>
    <x:xf numFmtId="0" fontId="2" fillId="0" borderId="17" xfId="0" applyFont="1" applyBorder="1" applyAlignment="1">
      <x:alignment horizontal="center"/>
    </x:xf>
    <x:xf numFmtId="0" fontId="1" fillId="0" borderId="0" xfId="0" applyFont="1" applyBorder="1" applyAlignment="1">
      <x:alignment horizontal="center" vertical="top" wrapText="1"/>
    </x:xf>
    <x:xf numFmtId="0" fontId="0" fillId="0" borderId="0" xfId="0" applyBorder="1" applyAlignment="1">
      <x:alignment horizontal="center"/>
    </x:xf>
    <x:xf numFmtId="0" fontId="3" fillId="0" borderId="0" xfId="0" applyFont="1" applyBorder="1" applyAlignment="1">
      <x:alignment horizontal="right"/>
    </x:xf>
    <x:xf numFmtId="1" fontId="1" fillId="0" borderId="28" xfId="0" applyNumberFormat="1" applyFont="1" applyBorder="1" applyAlignment="1">
      <x:alignment horizontal="center" vertical="top" wrapText="1"/>
    </x:xf>
    <x:xf numFmtId="1" fontId="1" fillId="0" borderId="29" xfId="0" applyNumberFormat="1" applyFont="1" applyBorder="1" applyAlignment="1">
      <x:alignment horizontal="center" vertical="top" wrapText="1"/>
    </x:xf>
    <x:xf numFmtId="1" fontId="1" fillId="0" borderId="31" xfId="0" applyNumberFormat="1" applyFont="1" applyBorder="1" applyAlignment="1">
      <x:alignment horizontal="center" vertical="top" wrapText="1"/>
    </x:xf>
    <x:xf numFmtId="1" fontId="1" fillId="0" borderId="32" xfId="0" applyNumberFormat="1" applyFont="1" applyBorder="1" applyAlignment="1">
      <x:alignment horizontal="center" vertical="top" wrapText="1"/>
    </x:xf>
    <x:xf numFmtId="0" fontId="2" fillId="0" borderId="0" xfId="0" applyFont="1" applyFill="1"/>
    <x:xf numFmtId="0" fontId="1" fillId="0" borderId="22" xfId="0" applyFont="1" applyBorder="1" applyAlignment="1">
      <x:alignment horizontal="center" vertical="top" wrapText="1"/>
    </x:xf>
    <x:xf numFmtId="0" fontId="1" fillId="0" borderId="19" xfId="0" applyFont="1" applyBorder="1" applyAlignment="1">
      <x:alignment horizontal="center" vertical="top" wrapText="1"/>
    </x:xf>
    <x:xf numFmtId="1" fontId="1" fillId="0" borderId="20" xfId="0" applyNumberFormat="1" applyFont="1" applyBorder="1" applyAlignment="1">
      <x:alignment horizontal="center" vertical="top" wrapText="1"/>
    </x:xf>
    <x:xf numFmtId="1" fontId="1" fillId="0" borderId="30" xfId="0" applyNumberFormat="1" applyFont="1" applyBorder="1" applyAlignment="1">
      <x:alignment horizontal="center" vertical="top" wrapText="1"/>
    </x:xf>
    <x:xf numFmtId="0" fontId="1" fillId="0" borderId="20" xfId="0" applyFont="1" applyBorder="1" applyAlignment="1">
      <x:alignment horizontal="center" vertical="top" wrapText="1"/>
    </x:xf>
    <x:xf numFmtId="0" fontId="1" fillId="0" borderId="30" xfId="0" applyFont="1" applyBorder="1" applyAlignment="1">
      <x:alignment horizontal="center" vertical="top" wrapText="1"/>
    </x:xf>
    <x:xf numFmtId="0" fontId="1" fillId="0" borderId="24" xfId="0" applyFont="1" applyBorder="1" applyAlignment="1">
      <x:alignment horizontal="center" vertical="top" wrapText="1"/>
    </x:xf>
    <x:xf numFmtId="0" fontId="1" fillId="0" borderId="25" xfId="0" applyFont="1" applyBorder="1" applyAlignment="1">
      <x:alignment horizontal="center" vertical="top" wrapText="1"/>
    </x:xf>
    <x:xf numFmtId="0" fontId="1" fillId="0" borderId="18" xfId="0" applyFont="1" applyBorder="1" applyAlignment="1">
      <x:alignment horizontal="center" vertical="top" wrapText="1"/>
    </x:xf>
    <x:xf numFmtId="1" fontId="1" fillId="0" borderId="21" xfId="0" applyNumberFormat="1" applyFont="1" applyBorder="1" applyAlignment="1">
      <x:alignment horizontal="center" vertical="top" wrapText="1"/>
    </x:xf>
    <x:xf numFmtId="1" fontId="4" fillId="0" borderId="37" xfId="0" applyNumberFormat="1" applyFont="1" applyBorder="1" applyAlignment="1">
      <x:alignment horizontal="center"/>
    </x:xf>
    <x:xf numFmtId="0" fontId="7" fillId="0" borderId="0" xfId="0" applyFont="1" applyAlignment="1">
      <x:alignment horizontal="center"/>
    </x:xf>
    <x:xf numFmtId="0" fontId="6" fillId="0" borderId="0" xfId="0" applyFont="1" applyAlignment="1">
      <x:alignment horizontal="center" vertical="center"/>
    </x:xf>
    <x:xf numFmtId="0" fontId="0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0" fillId="0" borderId="0" xfId="0" applyFont="1"/>
    <x:xf numFmtId="0" fontId="7" fillId="0" borderId="9" xfId="0" applyFont="1" applyBorder="1" applyAlignment="1">
      <x:alignment horizontal="right" vertical="center"/>
    </x:xf>
    <x:xf numFmtId="0" fontId="10" fillId="0" borderId="15" xfId="0" applyFont="1" applyFill="1" applyBorder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 applyFill="1"/>
    <x:xf numFmtId="0" fontId="2" fillId="0" borderId="38" xfId="0" applyFont="1" applyBorder="1" applyAlignment="1">
      <x:alignment horizontal="center" vertical="center"/>
    </x:xf>
    <x:xf numFmtId="0" fontId="2" fillId="3" borderId="41" xfId="0" applyFont="1" applyFill="1" applyBorder="1" applyAlignment="1">
      <x:alignment horizontal="center" vertical="center"/>
    </x:xf>
    <x:xf numFmtId="0" fontId="2" fillId="3" borderId="40" xfId="0" applyFont="1" applyFill="1" applyBorder="1" applyAlignment="1">
      <x:alignment horizontal="center" vertical="center"/>
    </x:xf>
    <x:xf numFmtId="0" fontId="7" fillId="3" borderId="39" xfId="0" applyFont="1" applyFill="1" applyBorder="1"/>
    <x:xf numFmtId="0" fontId="7" fillId="0" borderId="0" xfId="0" applyFont="1" applyBorder="1" applyAlignment="1">
      <x:alignment horizontal="right" vertical="center"/>
    </x:xf>
    <x:xf numFmtId="1" fontId="8" fillId="0" borderId="38" xfId="0" applyNumberFormat="1" applyFont="1" applyBorder="1" applyAlignment="1">
      <x:alignment horizontal="center"/>
    </x:xf>
    <x:xf numFmtId="1" fontId="11" fillId="0" borderId="38" xfId="0" applyNumberFormat="1" applyFont="1" applyBorder="1" applyAlignment="1">
      <x:alignment horizontal="center" vertical="center"/>
    </x:xf>
    <x:xf numFmtId="0" fontId="9" fillId="0" borderId="38" xfId="0" applyFont="1" applyBorder="1" applyAlignment="1">
      <x:alignment horizontal="left" vertical="center"/>
    </x:xf>
    <x:xf numFmtId="0" fontId="9" fillId="0" borderId="38" xfId="0" applyFont="1" applyBorder="1" applyAlignment="1">
      <x:alignment horizontal="center" vertical="center"/>
    </x:xf>
    <x:xf numFmtId="0" fontId="7" fillId="0" borderId="38" xfId="0" applyFont="1" applyBorder="1" applyAlignment="1">
      <x:alignment horizontal="center" vertical="center"/>
    </x:xf>
    <x:xf numFmtId="0" fontId="8" fillId="0" borderId="38" xfId="0" applyFont="1" applyBorder="1" applyAlignment="1">
      <x:alignment horizontal="center"/>
    </x:xf>
    <x:xf numFmtId="0" fontId="7" fillId="0" borderId="38" xfId="0" applyFont="1" applyBorder="1" applyAlignment="1">
      <x:alignment horizontal="center" vertical="center" wrapText="1"/>
    </x:xf>
    <x:xf numFmtId="0" fontId="10" fillId="0" borderId="0" xfId="0" applyFont="1"/>
    <x:xf numFmtId="1" fontId="1" fillId="0" borderId="26" xfId="0" applyNumberFormat="1" applyFont="1" applyBorder="1" applyAlignment="1">
      <x:alignment horizontal="center" vertical="top" wrapText="1"/>
    </x:xf>
    <x:xf numFmtId="1" fontId="1" fillId="0" borderId="27" xfId="0" applyNumberFormat="1" applyFont="1" applyBorder="1" applyAlignment="1">
      <x:alignment horizontal="center" vertical="top" wrapText="1"/>
    </x:xf>
    <x:xf numFmtId="1" fontId="1" fillId="0" borderId="33" xfId="0" applyNumberFormat="1" applyFont="1" applyBorder="1" applyAlignment="1">
      <x:alignment horizontal="center" vertical="top" wrapText="1"/>
    </x:xf>
    <x:xf numFmtId="1" fontId="1" fillId="0" borderId="34" xfId="0" applyNumberFormat="1" applyFont="1" applyBorder="1" applyAlignment="1">
      <x:alignment horizontal="center" vertical="top" wrapText="1"/>
    </x:xf>
    <x:xf numFmtId="1" fontId="1" fillId="2" borderId="35" xfId="0" applyNumberFormat="1" applyFont="1" applyFill="1" applyBorder="1" applyAlignment="1">
      <x:alignment horizontal="center" vertical="top" wrapText="1"/>
    </x:xf>
    <x:xf numFmtId="1" fontId="1" fillId="2" borderId="36" xfId="0" applyNumberFormat="1" applyFont="1" applyFill="1" applyBorder="1" applyAlignment="1">
      <x:alignment horizontal="center" vertical="top" wrapText="1"/>
    </x:xf>
    <x:xf numFmtId="0" fontId="1" fillId="0" borderId="22" xfId="0" applyFont="1" applyBorder="1" applyAlignment="1">
      <x:alignment horizontal="center" vertical="top" wrapText="1"/>
    </x:xf>
    <x:xf numFmtId="0" fontId="1" fillId="0" borderId="19" xfId="0" applyFont="1" applyBorder="1" applyAlignment="1">
      <x:alignment horizontal="center" vertical="top" wrapText="1"/>
    </x:xf>
    <x:xf numFmtId="1" fontId="1" fillId="0" borderId="20" xfId="0" applyNumberFormat="1" applyFont="1" applyBorder="1" applyAlignment="1">
      <x:alignment horizontal="center" vertical="top" wrapText="1"/>
    </x:xf>
    <x:xf numFmtId="1" fontId="1" fillId="0" borderId="30" xfId="0" applyNumberFormat="1" applyFont="1" applyBorder="1" applyAlignment="1">
      <x:alignment horizontal="center" vertical="top" wrapText="1"/>
    </x:xf>
    <x:xf numFmtId="0" fontId="1" fillId="0" borderId="11" xfId="0" applyFont="1" applyBorder="1" applyAlignment="1">
      <x:alignment horizontal="center" vertical="top" wrapText="1"/>
    </x:xf>
    <x:xf numFmtId="0" fontId="1" fillId="0" borderId="12" xfId="0" applyFont="1" applyBorder="1" applyAlignment="1">
      <x:alignment horizontal="center" vertical="top" wrapText="1"/>
    </x:xf>
    <x:xf numFmtId="1" fontId="1" fillId="0" borderId="13" xfId="0" applyNumberFormat="1" applyFont="1" applyBorder="1" applyAlignment="1">
      <x:alignment horizontal="center" vertical="top" wrapText="1"/>
    </x:xf>
    <x:xf numFmtId="1" fontId="1" fillId="0" borderId="14" xfId="0" applyNumberFormat="1" applyFont="1" applyBorder="1" applyAlignment="1">
      <x:alignment horizontal="center" vertical="top" wrapText="1"/>
    </x:xf>
    <x:xf numFmtId="1" fontId="1" fillId="0" borderId="8" xfId="0" applyNumberFormat="1" applyFont="1" applyBorder="1" applyAlignment="1">
      <x:alignment horizontal="center" vertical="top" wrapText="1"/>
    </x:xf>
    <x:xf numFmtId="1" fontId="1" fillId="0" borderId="23" xfId="0" applyNumberFormat="1" applyFont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2" fillId="4" borderId="42" xfId="0" applyNumberFormat="1" applyFont="1" applyFill="1" applyBorder="1" applyAlignment="1">
      <x:alignment horizontal="center" vertical="center" wrapText="1"/>
    </x:xf>
    <x:xf numFmtId="0" fontId="12" fillId="4" borderId="43" xfId="0" applyNumberFormat="1" applyFont="1" applyFill="1" applyBorder="1" applyAlignment="1">
      <x:alignment horizontal="center" vertical="center" wrapText="1"/>
    </x:xf>
    <x:xf numFmtId="0" fontId="12" fillId="4" borderId="44" xfId="0" applyNumberFormat="1" applyFont="1" applyFill="1" applyBorder="1" applyAlignment="1">
      <x:alignment horizontal="center" vertical="center" wrapText="1"/>
    </x:xf>
    <x:xf numFmtId="0" fontId="0" fillId="0" borderId="45" xfId="0" applyNumberFormat="1" applyFont="1" applyFill="1" applyBorder="1"/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0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45" xfId="0" applyNumberFormat="1" applyFont="1" applyFill="1" applyBorder="1" applyAlignment="1">
      <x:alignment vertical="center"/>
    </x:xf>
    <x:xf numFmtId="0" fontId="0" fillId="0" borderId="46" xfId="0" applyNumberFormat="1" applyFont="1" applyFill="1" applyBorder="1" applyAlignment="1">
      <x:alignment vertical="center"/>
    </x:xf>
    <x:xf numFmtId="0" fontId="0" fillId="0" borderId="47" xfId="0" applyNumberFormat="1" applyFont="1" applyFill="1" applyBorder="1" applyAlignment="1">
      <x:alignment vertical="center"/>
    </x:xf>
    <x:xf numFmtId="0" fontId="0" fillId="0" borderId="48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49" xfId="0" applyNumberFormat="1" applyFont="1" applyFill="1" applyBorder="1" applyAlignment="1">
      <x:alignment vertical="center"/>
    </x:xf>
    <x:xf numFmtId="0" fontId="0" fillId="0" borderId="50" xfId="0" applyNumberFormat="1" applyFont="1" applyFill="1" applyBorder="1" applyAlignment="1">
      <x:alignment vertical="center"/>
    </x:xf>
    <x:xf numFmtId="0" fontId="0" fillId="0" borderId="51" xfId="0" applyNumberFormat="1" applyFont="1" applyFill="1" applyBorder="1" applyAlignment="1">
      <x:alignment vertical="center"/>
    </x:xf>
    <x:xf numFmtId="0" fontId="0" fillId="0" borderId="52" xfId="0" applyNumberFormat="1" applyFont="1" applyFill="1" applyBorder="1" applyAlignment="1">
      <x:alignment vertical="center"/>
    </x:xf>
    <x:xf numFmtId="0" fontId="0" fillId="0" borderId="46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51" xfId="0" applyNumberFormat="1" applyFont="1" applyFill="1" applyBorder="1" applyAlignment="1">
      <x:alignment horizontal="center" vertical="center"/>
    </x:xf>
    <x:xf numFmtId="200" fontId="0" fillId="0" borderId="4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51" xfId="0" applyNumberFormat="1" applyFont="1" applyFill="1" applyBorder="1" applyAlignment="1">
      <x:alignment vertical="center"/>
    </x:xf>
    <x:xf numFmtId="201" fontId="0" fillId="0" borderId="4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51" xfId="0" applyNumberFormat="1" applyFont="1" applyFill="1" applyBorder="1" applyAlignment="1">
      <x:alignment vertical="center"/>
    </x:xf>
    <x:xf numFmtId="200" fontId="0" fillId="0" borderId="47" xfId="0" applyNumberFormat="1" applyFont="1" applyFill="1" applyBorder="1" applyAlignment="1">
      <x:alignment vertical="center"/>
    </x:xf>
    <x:xf numFmtId="200" fontId="0" fillId="0" borderId="49" xfId="0" applyNumberFormat="1" applyFont="1" applyFill="1" applyBorder="1" applyAlignment="1">
      <x:alignment vertical="center"/>
    </x:xf>
    <x:xf numFmtId="200" fontId="0" fillId="0" borderId="5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53" xfId="0" applyNumberFormat="1" applyFont="1" applyFill="1" applyBorder="1"/>
    <x:xf numFmtId="0" fontId="13" fillId="5" borderId="54" xfId="0" applyNumberFormat="1" applyFont="1" applyFill="1" applyBorder="1"/>
    <x:xf numFmtId="0" fontId="13" fillId="5" borderId="55" xfId="0" applyNumberFormat="1" applyFont="1" applyFill="1" applyBorder="1"/>
    <x:xf numFmtId="0" fontId="13" fillId="5" borderId="53" xfId="0" applyNumberFormat="1" applyFont="1" applyFill="1" applyBorder="1" applyAlignment="1">
      <x:alignment horizontal="center"/>
    </x:xf>
    <x:xf numFmtId="0" fontId="13" fillId="5" borderId="54" xfId="0" applyNumberFormat="1" applyFont="1" applyFill="1" applyBorder="1" applyAlignment="1">
      <x:alignment horizontal="center"/>
    </x:xf>
    <x:xf numFmtId="0" fontId="13" fillId="5" borderId="55" xfId="0" applyNumberFormat="1" applyFont="1" applyFill="1" applyBorder="1" applyAlignment="1">
      <x:alignment horizontal="center"/>
    </x:xf>
    <x:xf numFmtId="0" fontId="0" fillId="6" borderId="4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0" fontId="0" fillId="6" borderId="49" xfId="0" applyNumberFormat="1" applyFont="1" applyFill="1" applyBorder="1" applyAlignment="1">
      <x:alignment vertical="center"/>
    </x:xf>
    <x:xf numFmtId="0" fontId="0" fillId="7" borderId="48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vertical="center"/>
    </x:xf>
    <x:xf numFmtId="0" fontId="0" fillId="7" borderId="49" xfId="0" applyNumberFormat="1" applyFont="1" applyFill="1" applyBorder="1" applyAlignment="1">
      <x:alignment vertical="center"/>
    </x:xf>
    <x:xf numFmtId="0" fontId="0" fillId="8" borderId="48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vertical="center"/>
    </x:xf>
    <x:xf numFmtId="0" fontId="0" fillId="8" borderId="49" xfId="0" applyNumberFormat="1" applyFont="1" applyFill="1" applyBorder="1" applyAlignment="1">
      <x:alignment vertical="center"/>
    </x:xf>
    <x:xf numFmtId="0" fontId="0" fillId="8" borderId="50" xfId="0" applyNumberFormat="1" applyFont="1" applyFill="1" applyBorder="1" applyAlignment="1">
      <x:alignment vertical="center"/>
    </x:xf>
    <x:xf numFmtId="0" fontId="0" fillId="8" borderId="51" xfId="0" applyNumberFormat="1" applyFont="1" applyFill="1" applyBorder="1" applyAlignment="1">
      <x:alignment vertical="center"/>
    </x:xf>
    <x:xf numFmtId="200" fontId="0" fillId="8" borderId="51" xfId="0" applyNumberFormat="1" applyFont="1" applyFill="1" applyBorder="1" applyAlignment="1">
      <x:alignment vertical="center"/>
    </x:xf>
    <x:xf numFmtId="0" fontId="0" fillId="8" borderId="52" xfId="0" applyNumberFormat="1" applyFont="1" applyFill="1" applyBorder="1" applyAlignment="1">
      <x:alignment vertical="center"/>
    </x:xf>
    <x:xf numFmtId="0" fontId="0" fillId="0" borderId="45" xfId="0" applyNumberFormat="1" applyFont="1" applyFill="1" applyBorder="1" applyAlignment="1">
      <x:alignment horizontal="center"/>
    </x:xf>
    <x:xf numFmtId="0" fontId="0" fillId="0" borderId="46" xfId="0" applyNumberFormat="1" applyFont="1" applyFill="1" applyBorder="1" applyAlignment="1">
      <x:alignment horizontal="center"/>
    </x:xf>
    <x:xf numFmtId="0" fontId="0" fillId="0" borderId="47" xfId="0" applyNumberFormat="1" applyFont="1" applyFill="1" applyBorder="1" applyAlignment="1">
      <x:alignment horizontal="center"/>
    </x:xf>
    <x:xf numFmtId="0" fontId="0" fillId="0" borderId="48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49" xfId="0" applyNumberFormat="1" applyFont="1" applyFill="1" applyBorder="1" applyAlignment="1">
      <x:alignment horizontal="center"/>
    </x:xf>
    <x:xf numFmtId="0" fontId="0" fillId="0" borderId="50" xfId="0" applyNumberFormat="1" applyFont="1" applyFill="1" applyBorder="1" applyAlignment="1">
      <x:alignment horizontal="center"/>
    </x:xf>
    <x:xf numFmtId="0" fontId="0" fillId="0" borderId="51" xfId="0" applyNumberFormat="1" applyFont="1" applyFill="1" applyBorder="1" applyAlignment="1">
      <x:alignment horizontal="center"/>
    </x:xf>
    <x:xf numFmtId="0" fontId="0" fillId="0" borderId="52" xfId="0" applyNumberFormat="1" applyFont="1" applyFill="1" applyBorder="1" applyAlignment="1">
      <x:alignment horizontal="center"/>
    </x:xf>
    <x:xf numFmtId="0" fontId="0" fillId="0" borderId="45" xfId="0" applyNumberFormat="1" applyFont="1" applyFill="1" applyBorder="1" applyAlignment="1">
      <x:alignment horizontal="center" vertical="center"/>
    </x:xf>
    <x:xf numFmtId="0" fontId="0" fillId="0" borderId="47" xfId="0" applyNumberFormat="1" applyFont="1" applyFill="1" applyBorder="1" applyAlignment="1">
      <x:alignment horizontal="center" vertical="center"/>
    </x:xf>
    <x:xf numFmtId="0" fontId="0" fillId="0" borderId="48" xfId="0" applyNumberFormat="1" applyFont="1" applyFill="1" applyBorder="1" applyAlignment="1">
      <x:alignment horizontal="center" vertical="center"/>
    </x:xf>
    <x:xf numFmtId="0" fontId="0" fillId="0" borderId="49" xfId="0" applyNumberFormat="1" applyFont="1" applyFill="1" applyBorder="1" applyAlignment="1">
      <x:alignment horizontal="center" vertical="center"/>
    </x:xf>
    <x:xf numFmtId="0" fontId="0" fillId="0" borderId="50" xfId="0" applyNumberFormat="1" applyFont="1" applyFill="1" applyBorder="1" applyAlignment="1">
      <x:alignment horizontal="center" vertical="center"/>
    </x:xf>
    <x:xf numFmtId="0" fontId="0" fillId="0" borderId="52" xfId="0" applyNumberFormat="1" applyFont="1" applyFill="1" applyBorder="1" applyAlignment="1">
      <x:alignment horizontal="center" vertical="center"/>
    </x:xf>
    <x:xf numFmtId="0" fontId="0" fillId="9" borderId="45" xfId="0" applyNumberFormat="1" applyFont="1" applyFill="1" applyBorder="1" applyAlignment="1">
      <x:alignment horizontal="center" vertical="center"/>
    </x:xf>
    <x:xf numFmtId="0" fontId="0" fillId="9" borderId="48" xfId="0" applyNumberFormat="1" applyFont="1" applyFill="1" applyBorder="1" applyAlignment="1">
      <x:alignment horizontal="center" vertical="center"/>
    </x:xf>
    <x:xf numFmtId="0" fontId="0" fillId="9" borderId="50" xfId="0" applyNumberFormat="1" applyFont="1" applyFill="1" applyBorder="1" applyAlignment="1">
      <x:alignment horizontal="center" vertical="center"/>
    </x:xf>
    <x:xf numFmtId="0" fontId="0" fillId="10" borderId="46" xfId="0" applyNumberFormat="1" applyFont="1" applyFill="1" applyBorder="1" applyAlignment="1">
      <x:alignment horizontal="center" vertical="center"/>
    </x:xf>
    <x:xf numFmtId="0" fontId="14" fillId="10" borderId="46" xfId="0" applyNumberFormat="1" applyFont="1" applyFill="1" applyBorder="1" applyAlignment="1">
      <x:alignment horizontal="center" vertical="center"/>
    </x:xf>
    <x:xf numFmtId="0" fontId="0" fillId="11" borderId="46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horizontal="center" vertical="center"/>
    </x:xf>
    <x:xf numFmtId="0" fontId="15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horizontal="center" vertical="center"/>
    </x:xf>
    <x:xf numFmtId="0" fontId="0" fillId="10" borderId="51" xfId="0" applyNumberFormat="1" applyFont="1" applyFill="1" applyBorder="1" applyAlignment="1">
      <x:alignment horizontal="center" vertical="center"/>
    </x:xf>
    <x:xf numFmtId="0" fontId="14" fillId="10" borderId="51" xfId="0" applyNumberFormat="1" applyFont="1" applyFill="1" applyBorder="1" applyAlignment="1">
      <x:alignment horizontal="center" vertical="center"/>
    </x:xf>
    <x:xf numFmtId="0" fontId="0" fillId="13" borderId="51" xfId="0" applyNumberFormat="1" applyFont="1" applyFill="1" applyBorder="1" applyAlignment="1">
      <x:alignment horizontal="center" vertical="center"/>
    </x:xf>
    <x:xf numFmtId="0" fontId="12" fillId="4" borderId="56" xfId="0" applyNumberFormat="1" applyFont="1" applyFill="1" applyBorder="1" applyAlignment="1">
      <x:alignment horizontal="center" vertical="center"/>
    </x:xf>
    <x:xf numFmtId="0" fontId="12" fillId="4" borderId="57" xfId="0" applyNumberFormat="1" applyFont="1" applyFill="1" applyBorder="1" applyAlignment="1">
      <x:alignment horizontal="center" vertical="center"/>
    </x:xf>
    <x:xf numFmtId="0" fontId="0" fillId="0" borderId="58" xfId="0" applyNumberFormat="1" applyFont="1" applyFill="1" applyBorder="1" applyAlignment="1">
      <x:alignment horizontal="center" vertical="center"/>
    </x:xf>
    <x:xf numFmtId="0" fontId="0" fillId="0" borderId="59" xfId="0" applyNumberFormat="1" applyFont="1" applyFill="1" applyBorder="1" applyAlignment="1">
      <x:alignment horizontal="center" vertical="center"/>
    </x:xf>
    <x:xf numFmtId="0" fontId="0" fillId="0" borderId="56" xfId="0" applyNumberFormat="1" applyFont="1" applyFill="1" applyBorder="1" applyAlignment="1">
      <x:alignment horizontal="center" vertical="center"/>
    </x:xf>
    <x:xf numFmtId="0" fontId="0" fillId="0" borderId="57" xfId="0" applyNumberFormat="1" applyFont="1" applyFill="1" applyBorder="1" applyAlignment="1">
      <x:alignment horizontal="center" vertical="center"/>
    </x:xf>
    <x:xf numFmtId="0" fontId="14" fillId="10" borderId="56" xfId="0" applyNumberFormat="1" applyFont="1" applyFill="1" applyBorder="1" applyAlignment="1">
      <x:alignment horizontal="center" vertical="center"/>
    </x:xf>
    <x:xf numFmtId="0" fontId="14" fillId="10" borderId="57" xfId="0" applyNumberFormat="1" applyFont="1" applyFill="1" applyBorder="1" applyAlignment="1">
      <x:alignment horizontal="center" vertical="center"/>
    </x:xf>
    <x:xf numFmtId="0" fontId="0" fillId="0" borderId="60" xfId="0" applyNumberFormat="1" applyFont="1" applyFill="1" applyBorder="1" applyAlignment="1">
      <x:alignment horizontal="center" vertical="center"/>
    </x:xf>
    <x:xf numFmtId="0" fontId="0" fillId="0" borderId="61" xfId="0" applyNumberFormat="1" applyFont="1" applyFill="1" applyBorder="1" applyAlignment="1">
      <x:alignment horizontal="center" vertical="center"/>
    </x:xf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15" fillId="12" borderId="56" xfId="0" applyNumberFormat="1" applyFont="1" applyFill="1" applyBorder="1" applyAlignment="1">
      <x:alignment horizontal="center" vertical="center"/>
    </x:xf>
    <x:xf numFmtId="0" fontId="15" fillId="12" borderId="57" xfId="0" applyNumberFormat="1" applyFont="1" applyFill="1" applyBorder="1" applyAlignment="1">
      <x:alignment horizontal="center" vertical="center"/>
    </x:xf>
    <x:xf numFmtId="0" fontId="0" fillId="11" borderId="56" xfId="0" applyNumberFormat="1" applyFont="1" applyFill="1" applyBorder="1" applyAlignment="1">
      <x:alignment horizontal="center" vertical="center"/>
    </x:xf>
    <x:xf numFmtId="0" fontId="0" fillId="11" borderId="57" xfId="0" applyNumberFormat="1" applyFont="1" applyFill="1" applyBorder="1" applyAlignment="1">
      <x:alignment horizontal="center" vertical="center"/>
    </x:xf>
    <x:xf numFmtId="0" fontId="16" fillId="11" borderId="46" xfId="0" applyNumberFormat="1" applyFont="1" applyFill="1" applyBorder="1" applyAlignment="1">
      <x:alignment horizontal="center" vertic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16" fillId="12" borderId="57" xfId="0" applyNumberFormat="1" applyFont="1" applyFill="1" applyBorder="1" applyAlignment="1">
      <x:alignment horizontal="center" vertical="center"/>
    </x:xf>
    <x:xf numFmtId="0" fontId="16" fillId="12" borderId="0" xfId="0" applyNumberFormat="1" applyFont="1" applyFill="1" applyBorder="1" applyAlignment="1">
      <x:alignment horizontal="center" vertical="center"/>
    </x:xf>
    <x:xf numFmtId="0" fontId="16" fillId="0" borderId="5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62" xfId="0" applyNumberFormat="1" applyFont="1" applyFill="1" applyBorder="1"/>
    <x:xf numFmtId="0" fontId="17" fillId="7" borderId="63" xfId="0" applyNumberFormat="1" applyFont="1" applyFill="1" applyBorder="1"/>
    <x:xf numFmtId="0" fontId="17" fillId="7" borderId="62" xfId="0" applyNumberFormat="1" applyFont="1" applyFill="1" applyBorder="1" applyAlignment="1">
      <x:alignment horizontal="center"/>
    </x:xf>
    <x:xf numFmtId="0" fontId="17" fillId="7" borderId="63" xfId="0" applyNumberFormat="1" applyFont="1" applyFill="1" applyBorder="1" applyAlignment="1">
      <x:alignment horizontal="center"/>
    </x:xf>
    <x:xf numFmtId="0" fontId="0" fillId="10" borderId="45" xfId="0" applyNumberFormat="1" applyFont="1" applyFill="1" applyBorder="1" applyAlignment="1">
      <x:alignment vertical="center"/>
    </x:xf>
    <x:xf numFmtId="0" fontId="0" fillId="11" borderId="48" xfId="0" applyNumberFormat="1" applyFont="1" applyFill="1" applyBorder="1" applyAlignment="1">
      <x:alignment vertical="center"/>
    </x:xf>
    <x:xf numFmtId="0" fontId="0" fillId="14" borderId="48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45" xfId="0" applyNumberFormat="1" applyFont="1" applyFill="1" applyBorder="1"/>
    <x:xf numFmtId="0" fontId="18" fillId="15" borderId="46" xfId="0" applyNumberFormat="1" applyFont="1" applyFill="1" applyBorder="1"/>
    <x:xf numFmtId="0" fontId="18" fillId="15" borderId="47" xfId="0" applyNumberFormat="1" applyFont="1" applyFill="1" applyBorder="1"/>
    <x:xf numFmtId="0" fontId="18" fillId="15" borderId="48" xfId="0" applyNumberFormat="1" applyFont="1" applyFill="1" applyBorder="1"/>
    <x:xf numFmtId="0" fontId="18" fillId="15" borderId="49" xfId="0" applyNumberFormat="1" applyFont="1" applyFill="1" applyBorder="1"/>
    <x:xf numFmtId="0" fontId="18" fillId="15" borderId="50" xfId="0" applyNumberFormat="1" applyFont="1" applyFill="1" applyBorder="1"/>
    <x:xf numFmtId="0" fontId="18" fillId="15" borderId="51" xfId="0" applyNumberFormat="1" applyFont="1" applyFill="1" applyBorder="1"/>
    <x:xf numFmtId="0" fontId="18" fillId="15" borderId="52" xfId="0" applyNumberFormat="1" applyFont="1" applyFill="1" applyBorder="1"/>
  </x:cellXfs>
  <x:cellStyles count="2">
    <x:cellStyle name="Normal" xfId="0"/>
    <x:cellStyle name="Normal 2" xfId="1"/>
  </x:cellStyles>
  <x:dxfs count="22"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002060"/>
        </x:patternFill>
      </x:fill>
    </x:dxf>
    <x:dxf>
      <x:fill>
        <x:patternFill>
          <x:bgColor rgb="FF00206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829f910384bdf" /><Relationship Type="http://schemas.openxmlformats.org/officeDocument/2006/relationships/theme" Target="/xl/theme/theme1.xml" Id="R97ca99b2bf6846a2" /><Relationship Type="http://schemas.openxmlformats.org/officeDocument/2006/relationships/sharedStrings" Target="/xl/sharedStrings.xml" Id="R606a0a8684f64645" /><Relationship Type="http://schemas.openxmlformats.org/officeDocument/2006/relationships/worksheet" Target="/xl/worksheets/sheet1.xml" Id="R318c7a11d7494036" /><Relationship Type="http://schemas.openxmlformats.org/officeDocument/2006/relationships/worksheet" Target="/xl/worksheets/sheet2.xml" Id="R2fdf90f7bda94e98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320040</xdr:colOff>
      <xdr:row>3</xdr:row>
      <xdr:rowOff>160020</xdr:rowOff>
    </xdr:from>
    <xdr:to>
      <xdr:col>10</xdr:col>
      <xdr:colOff>15240</xdr:colOff>
      <xdr:row>5</xdr:row>
      <xdr:rowOff>144780</xdr:rowOff>
    </xdr:to>
    <xdr:sp>
      <xdr:nvSpPr>
        <xdr:cNvPr id="1" name="Conector recto de flecha 14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3652520" y="678180"/>
          <a:ext cx="670560" cy="33020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8</xdr:col>
      <xdr:colOff>15240</xdr:colOff>
      <xdr:row>7</xdr:row>
      <xdr:rowOff>0</xdr:rowOff>
    </xdr:from>
    <xdr:to>
      <xdr:col>10</xdr:col>
      <xdr:colOff>22860</xdr:colOff>
      <xdr:row>10</xdr:row>
      <xdr:rowOff>38100</xdr:rowOff>
    </xdr:to>
    <xdr:sp>
      <xdr:nvSpPr>
        <xdr:cNvPr id="2" name="Conector recto de flecha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636520" y="1226820"/>
          <a:ext cx="662940" cy="56388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7</xdr:col>
      <xdr:colOff>15240</xdr:colOff>
      <xdr:row>15</xdr:row>
      <xdr:rowOff>114300</xdr:rowOff>
    </xdr:from>
    <xdr:to>
      <xdr:col>11</xdr:col>
      <xdr:colOff>7620</xdr:colOff>
      <xdr:row>18</xdr:row>
      <xdr:rowOff>30480</xdr:rowOff>
    </xdr:to>
    <xdr:sp>
      <xdr:nvSpPr>
        <xdr:cNvPr id="3" name="Conector recto de flecha 17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2308860" y="2743200"/>
          <a:ext cx="1303020" cy="44196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14</xdr:col>
      <xdr:colOff>15240</xdr:colOff>
      <xdr:row>3</xdr:row>
      <xdr:rowOff>91440</xdr:rowOff>
    </xdr:from>
    <xdr:to>
      <xdr:col>16</xdr:col>
      <xdr:colOff>0</xdr:colOff>
      <xdr:row>4</xdr:row>
      <xdr:rowOff>0</xdr:rowOff>
    </xdr:to>
    <xdr:sp>
      <xdr:nvSpPr>
        <xdr:cNvPr id="4" name="Conector recto de flecha 20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602480" y="617220"/>
          <a:ext cx="640080" cy="8382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14</xdr:col>
      <xdr:colOff>7620</xdr:colOff>
      <xdr:row>4</xdr:row>
      <xdr:rowOff>121920</xdr:rowOff>
    </xdr:from>
    <xdr:to>
      <xdr:col>15</xdr:col>
      <xdr:colOff>320040</xdr:colOff>
      <xdr:row>9</xdr:row>
      <xdr:rowOff>38100</xdr:rowOff>
    </xdr:to>
    <xdr:sp>
      <xdr:nvSpPr>
        <xdr:cNvPr id="5" name="Conector recto de flecha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594860" y="822960"/>
          <a:ext cx="640080" cy="79248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14</xdr:col>
      <xdr:colOff>22860</xdr:colOff>
      <xdr:row>10</xdr:row>
      <xdr:rowOff>15240</xdr:rowOff>
    </xdr:from>
    <xdr:to>
      <xdr:col>16</xdr:col>
      <xdr:colOff>7620</xdr:colOff>
      <xdr:row>10</xdr:row>
      <xdr:rowOff>99060</xdr:rowOff>
    </xdr:to>
    <xdr:sp>
      <xdr:nvSpPr>
        <xdr:cNvPr id="6" name="Conector recto de flecha 26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4610100" y="1767840"/>
          <a:ext cx="640080" cy="8382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15</xdr:col>
      <xdr:colOff>22860</xdr:colOff>
      <xdr:row>15</xdr:row>
      <xdr:rowOff>167640</xdr:rowOff>
    </xdr:from>
    <xdr:to>
      <xdr:col>17</xdr:col>
      <xdr:colOff>15240</xdr:colOff>
      <xdr:row>16</xdr:row>
      <xdr:rowOff>60960</xdr:rowOff>
    </xdr:to>
    <xdr:sp>
      <xdr:nvSpPr>
        <xdr:cNvPr id="7" name="Conector recto de flecha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282440" y="2796540"/>
          <a:ext cx="647700" cy="6858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20</xdr:col>
      <xdr:colOff>7620</xdr:colOff>
      <xdr:row>3</xdr:row>
      <xdr:rowOff>144780</xdr:rowOff>
    </xdr:from>
    <xdr:to>
      <xdr:col>21</xdr:col>
      <xdr:colOff>320040</xdr:colOff>
      <xdr:row>4</xdr:row>
      <xdr:rowOff>53340</xdr:rowOff>
    </xdr:to>
    <xdr:sp>
      <xdr:nvSpPr>
        <xdr:cNvPr id="8" name="Conector recto de flecha 36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6560820" y="670560"/>
          <a:ext cx="640080" cy="8382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17</xdr:col>
      <xdr:colOff>205740</xdr:colOff>
      <xdr:row>12</xdr:row>
      <xdr:rowOff>15240</xdr:rowOff>
    </xdr:from>
    <xdr:to>
      <xdr:col>18</xdr:col>
      <xdr:colOff>281940</xdr:colOff>
      <xdr:row>14</xdr:row>
      <xdr:rowOff>15240</xdr:rowOff>
    </xdr:to>
    <xdr:sp>
      <xdr:nvSpPr>
        <xdr:cNvPr id="9" name="Conector recto de flecha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775960" y="2118360"/>
          <a:ext cx="403860" cy="35052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23</xdr:col>
      <xdr:colOff>297180</xdr:colOff>
      <xdr:row>6</xdr:row>
      <xdr:rowOff>0</xdr:rowOff>
    </xdr:from>
    <xdr:to>
      <xdr:col>24</xdr:col>
      <xdr:colOff>30480</xdr:colOff>
      <xdr:row>8</xdr:row>
      <xdr:rowOff>15240</xdr:rowOff>
    </xdr:to>
    <xdr:sp>
      <xdr:nvSpPr>
        <xdr:cNvPr id="10" name="Conector recto de flecha 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833360" y="1051560"/>
          <a:ext cx="60960" cy="36576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20</xdr:col>
      <xdr:colOff>320040</xdr:colOff>
      <xdr:row>12</xdr:row>
      <xdr:rowOff>7620</xdr:rowOff>
    </xdr:from>
    <xdr:to>
      <xdr:col>23</xdr:col>
      <xdr:colOff>76200</xdr:colOff>
      <xdr:row>16</xdr:row>
      <xdr:rowOff>0</xdr:rowOff>
    </xdr:to>
    <xdr:sp>
      <xdr:nvSpPr>
        <xdr:cNvPr id="11" name="Conector recto de flecha 47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6873240" y="2110740"/>
          <a:ext cx="739140" cy="69342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24</xdr:col>
      <xdr:colOff>30480</xdr:colOff>
      <xdr:row>12</xdr:row>
      <xdr:rowOff>7620</xdr:rowOff>
    </xdr:from>
    <xdr:to>
      <xdr:col>24</xdr:col>
      <xdr:colOff>312420</xdr:colOff>
      <xdr:row>15</xdr:row>
      <xdr:rowOff>22860</xdr:rowOff>
    </xdr:to>
    <xdr:sp>
      <xdr:nvSpPr>
        <xdr:cNvPr id="12" name="Conector recto de flecha 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894320" y="2110740"/>
          <a:ext cx="281940" cy="54102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26</xdr:col>
      <xdr:colOff>22860</xdr:colOff>
      <xdr:row>9</xdr:row>
      <xdr:rowOff>114300</xdr:rowOff>
    </xdr:from>
    <xdr:to>
      <xdr:col>28</xdr:col>
      <xdr:colOff>15240</xdr:colOff>
      <xdr:row>12</xdr:row>
      <xdr:rowOff>0</xdr:rowOff>
    </xdr:to>
    <xdr:sp>
      <xdr:nvSpPr>
        <xdr:cNvPr id="13" name="Conector recto de flecha 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542020" y="1691640"/>
          <a:ext cx="647700" cy="41148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24</xdr:col>
      <xdr:colOff>281940</xdr:colOff>
      <xdr:row>19</xdr:row>
      <xdr:rowOff>0</xdr:rowOff>
    </xdr:from>
    <xdr:to>
      <xdr:col>25</xdr:col>
      <xdr:colOff>15240</xdr:colOff>
      <xdr:row>21</xdr:row>
      <xdr:rowOff>15240</xdr:rowOff>
    </xdr:to>
    <xdr:sp>
      <xdr:nvSpPr>
        <xdr:cNvPr id="14" name="Conector recto de flecha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145780" y="3329940"/>
          <a:ext cx="60960" cy="36576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27</xdr:col>
      <xdr:colOff>7620</xdr:colOff>
      <xdr:row>16</xdr:row>
      <xdr:rowOff>7620</xdr:rowOff>
    </xdr:from>
    <xdr:to>
      <xdr:col>28</xdr:col>
      <xdr:colOff>297180</xdr:colOff>
      <xdr:row>17</xdr:row>
      <xdr:rowOff>160020</xdr:rowOff>
    </xdr:to>
    <xdr:sp>
      <xdr:nvSpPr>
        <xdr:cNvPr id="15" name="Conector recto de flecha 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854440" y="2811780"/>
          <a:ext cx="617220" cy="32766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29</xdr:col>
      <xdr:colOff>236220</xdr:colOff>
      <xdr:row>14</xdr:row>
      <xdr:rowOff>7620</xdr:rowOff>
    </xdr:from>
    <xdr:to>
      <xdr:col>29</xdr:col>
      <xdr:colOff>259080</xdr:colOff>
      <xdr:row>17</xdr:row>
      <xdr:rowOff>167640</xdr:rowOff>
    </xdr:to>
    <xdr:sp>
      <xdr:nvSpPr>
        <xdr:cNvPr id="16" name="Conector recto de flecha 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738360" y="2461260"/>
          <a:ext cx="22860" cy="68580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1f75d9745a844ca" /></Relationships>
</file>

<file path=xl/worksheets/sheet1.xml><?xml version="1.0" encoding="utf-8"?>
<x:worksheet xmlns:x="http://schemas.openxmlformats.org/spreadsheetml/2006/main">
  <x:sheetFormatPr baseColWidth="10" defaultColWidth="3.33203125" defaultRowHeight="24.899999618530273"/>
  <x:cols>
    <x:col min="1" max="1" width="3.33203125" style="4" customWidth="0"/>
    <x:col min="2" max="2" width="12.77734375" style="4" customWidth="1"/>
    <x:col min="3" max="3" width="8.77734375" style="4" customWidth="1"/>
    <x:col min="4" max="4" width="12.44140625" style="4" customWidth="1"/>
    <x:col min="5" max="6" width="9" style="4" customWidth="1"/>
    <x:col min="7" max="7" width="12.21875" style="16" customWidth="1"/>
    <x:col min="8" max="8" width="17.5546875" style="16" customWidth="1"/>
    <x:col min="9" max="9" width="22.88671875" style="16" customWidth="1"/>
    <x:col min="10" max="10" width="14.5546875" style="16" customWidth="1"/>
    <x:col min="11" max="11" width="17" style="16" customWidth="1"/>
    <x:col min="12" max="12" width="7.6640625" style="16" customWidth="1"/>
    <x:col min="13" max="13" width="10.44140625" style="16" customWidth="1"/>
    <x:col min="14" max="14" width="7.6640625" style="16" customWidth="1"/>
    <x:col min="15" max="53" width="15.6640625" style="16" customWidth="1"/>
    <x:col min="54" max="57" width="3.33203125" style="16" customWidth="0"/>
    <x:col min="58" max="16384" width="3.33203125" style="4" customWidth="0"/>
  </x:cols>
  <x:sheetData>
    <x:row r="1" ht="24.899999618530273" customHeight="1">
      <x:c r="R1"/>
    </x:row>
    <x:row r="2" ht="42">
      <x:c r="B2" s="83" t="str">
        <x:v>Actividad</x:v>
      </x:c>
      <x:c r="C2" s="84" t="str">
        <x:v>Pred</x:v>
      </x:c>
      <x:c r="D2" s="84" t="str">
        <x:v>Duración</x:v>
      </x:c>
      <x:c r="E2" s="84" t="str">
        <x:v>Inicio temp</x:v>
      </x:c>
      <x:c r="F2" s="84" t="str">
        <x:v>Fin temp.</x:v>
      </x:c>
      <x:c r="G2" s="84" t="str">
        <x:v>Cantidad</x:v>
      </x:c>
      <x:c r="H2" s="84" t="str">
        <x:v>Recurso</x:v>
      </x:c>
      <x:c r="I2" s="84" t="str">
        <x:v>Coste planificado</x:v>
      </x:c>
      <x:c r="J2" s="84" t="str">
        <x:v>Coste real</x:v>
      </x:c>
      <x:c r="K2" s="84" t="str">
        <x:v>Finalizada al</x:v>
      </x:c>
      <x:c r="L2" s="84" t="str">
        <x:v>Plan % s6</x:v>
      </x:c>
      <x:c r="M2" s="84" t="str">
        <x:v>VP act.</x:v>
      </x:c>
      <x:c r="N2" s="85" t="str">
        <x:v>VG act.</x:v>
      </x:c>
      <x:c r="O2" s="81" t="str">
        <x:v>Gantt planificado</x:v>
      </x:c>
      <x:c r="P2" s="81" t="n">
        <x:v>1</x:v>
      </x:c>
      <x:c r="Q2" s="81" t="n">
        <x:v>2</x:v>
      </x:c>
      <x:c r="R2" s="81" t="n">
        <x:v>3</x:v>
      </x:c>
      <x:c r="S2" s="81" t="n">
        <x:v>4</x:v>
      </x:c>
      <x:c r="T2" s="81" t="n">
        <x:v>5</x:v>
      </x:c>
      <x:c r="U2" s="171" t="n">
        <x:v>6</x:v>
      </x:c>
      <x:c r="V2" s="81" t="n">
        <x:v>7</x:v>
      </x:c>
      <x:c r="W2" s="81" t="n">
        <x:v>8</x:v>
      </x:c>
      <x:c r="X2" s="81" t="n">
        <x:v>9</x:v>
      </x:c>
      <x:c r="Y2" s="81" t="n">
        <x:v>10</x:v>
      </x:c>
      <x:c r="Z2" s="81" t="n">
        <x:v>11</x:v>
      </x:c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 s="27"/>
      <x:c r="BB2" s="27"/>
      <x:c r="BC2" s="27"/>
      <x:c r="BD2" s="27"/>
      <x:c r="BE2" s="27"/>
      <x:c r="BF2" s="27"/>
      <x:c r="BG2" s="27"/>
      <x:c r="BH2" s="27"/>
      <x:c r="BI2" s="27"/>
      <x:c r="BJ2" s="27"/>
      <x:c r="BK2" s="27"/>
    </x:row>
    <x:row r="3" ht="24.899999618530273" customHeight="1">
      <x:c r="B3" s="95" t="str">
        <x:v>A</x:v>
      </x:c>
      <x:c r="C3" s="96" t="str">
        <x:v>-</x:v>
      </x:c>
      <x:c r="D3" s="104" t="n">
        <x:v>1</x:v>
      </x:c>
      <x:c r="E3" s="104" t="n">
        <x:v>0</x:v>
      </x:c>
      <x:c r="F3" s="104" t="n">
        <x:v>1</x:v>
      </x:c>
      <x:c r="G3" s="104" t="n">
        <x:v>1</x:v>
      </x:c>
      <x:c r="H3" s="96" t="str">
        <x:v>Analista</x:v>
      </x:c>
      <x:c r="I3" s="107" t="n">
        <x:v>200</x:v>
      </x:c>
      <x:c r="J3" s="107" t="n">
        <x:v>192</x:v>
      </x:c>
      <x:c r="K3" s="110" t="n">
        <x:v>1</x:v>
      </x:c>
      <x:c r="L3" s="110" t="n">
        <x:f>MAX(0,MIN(1,($C$13-E3)/(F3-E3)))</x:f>
        <x:v>1</x:v>
      </x:c>
      <x:c r="M3" s="107" t="n">
        <x:f>I3*L3</x:f>
        <x:v>200</x:v>
      </x:c>
      <x:c r="N3" s="113" t="n">
        <x:f>I3*K3</x:f>
        <x:v>200</x:v>
      </x:c>
      <x:c r="O3" s="155" t="str">
        <x:v>A</x:v>
      </x:c>
      <x:c r="P3" s="159" t="str"/>
      <x:c r="Q3" s="104"/>
      <x:c r="R3" s="104"/>
      <x:c r="S3" s="104"/>
      <x:c r="T3" s="104"/>
      <x:c r="U3" s="173"/>
      <x:c r="V3" s="104"/>
      <x:c r="W3" s="104"/>
      <x:c r="X3" s="104"/>
      <x:c r="Y3" s="104"/>
      <x:c r="Z3" s="150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 s="27"/>
      <x:c r="BB3" s="27"/>
      <x:c r="BC3" s="27"/>
      <x:c r="BD3" s="27"/>
      <x:c r="BE3" s="27"/>
      <x:c r="BF3" s="27"/>
      <x:c r="BG3" s="27"/>
      <x:c r="BH3" s="27"/>
      <x:c r="BI3" s="27"/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</x:row>
    <x:row r="4" ht="24.899999618530273" customHeight="1">
      <x:c r="B4" s="98" t="str">
        <x:v>B</x:v>
      </x:c>
      <x:c r="C4" s="99" t="str">
        <x:v>A</x:v>
      </x:c>
      <x:c r="D4" s="105" t="n">
        <x:v>3</x:v>
      </x:c>
      <x:c r="E4" s="105" t="n">
        <x:v>1</x:v>
      </x:c>
      <x:c r="F4" s="105" t="n">
        <x:v>4</x:v>
      </x:c>
      <x:c r="G4" s="105" t="n">
        <x:v>2</x:v>
      </x:c>
      <x:c r="H4" s="99" t="str">
        <x:v>Analista</x:v>
      </x:c>
      <x:c r="I4" s="108" t="n">
        <x:v>1200</x:v>
      </x:c>
      <x:c r="J4" s="108" t="n">
        <x:v>1056</x:v>
      </x:c>
      <x:c r="K4" s="111" t="n">
        <x:v>1</x:v>
      </x:c>
      <x:c r="L4" s="111" t="n">
        <x:f>MAX(0,MIN(1,($C$13-E4)/(F4-E4)))</x:f>
        <x:v>1</x:v>
      </x:c>
      <x:c r="M4" s="108" t="n">
        <x:f>I4*L4</x:f>
        <x:v>1200</x:v>
      </x:c>
      <x:c r="N4" s="114" t="n">
        <x:f>I4*K4</x:f>
        <x:v>1200</x:v>
      </x:c>
      <x:c r="O4" s="156" t="str">
        <x:v>B</x:v>
      </x:c>
      <x:c r="P4" s="105"/>
      <x:c r="Q4" s="162" t="str"/>
      <x:c r="R4" s="162" t="str"/>
      <x:c r="S4" s="162" t="str"/>
      <x:c r="T4" s="105"/>
      <x:c r="U4" s="175"/>
      <x:c r="V4" s="105"/>
      <x:c r="W4" s="105"/>
      <x:c r="X4" s="105"/>
      <x:c r="Y4" s="105"/>
      <x:c r="Z4" s="152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 s="27"/>
      <x:c r="BB4" s="27"/>
      <x:c r="BC4" s="27"/>
      <x:c r="BD4" s="27"/>
      <x:c r="BE4" s="27"/>
      <x:c r="BF4" s="27"/>
      <x:c r="BG4" s="27"/>
      <x:c r="BH4" s="27"/>
      <x:c r="BI4" s="27"/>
      <x:c r="BJ4" s="27"/>
      <x:c r="BK4" s="27"/>
      <x:c r="BL4" s="27"/>
      <x:c r="BM4" s="27"/>
      <x:c r="BN4" s="27"/>
      <x:c r="BO4" s="27"/>
      <x:c r="BP4" s="27"/>
      <x:c r="BQ4" s="27"/>
      <x:c r="BR4" s="27"/>
      <x:c r="BS4" s="27"/>
      <x:c r="BT4" s="27"/>
      <x:c r="BU4" s="27"/>
      <x:c r="BV4" s="27"/>
      <x:c r="BW4" s="27"/>
      <x:c r="BX4" s="27"/>
      <x:c r="BY4" s="27"/>
      <x:c r="BZ4" s="27"/>
      <x:c r="CA4" s="27"/>
      <x:c r="CB4" s="27"/>
      <x:c r="CC4" s="27"/>
      <x:c r="CD4" s="27"/>
      <x:c r="CE4" s="27"/>
      <x:c r="CF4" s="27"/>
      <x:c r="CG4" s="27"/>
      <x:c r="CH4" s="27"/>
      <x:c r="CI4" s="27"/>
      <x:c r="CJ4" s="27"/>
      <x:c r="CK4" s="27"/>
      <x:c r="CL4" s="27"/>
    </x:row>
    <x:row r="5" ht="24.899999618530273" customHeight="1">
      <x:c r="B5" s="98" t="str">
        <x:v>C</x:v>
      </x:c>
      <x:c r="C5" s="99" t="str">
        <x:v>A</x:v>
      </x:c>
      <x:c r="D5" s="105" t="n">
        <x:v>4</x:v>
      </x:c>
      <x:c r="E5" s="105" t="n">
        <x:v>1</x:v>
      </x:c>
      <x:c r="F5" s="105" t="n">
        <x:v>5</x:v>
      </x:c>
      <x:c r="G5" s="105" t="n">
        <x:v>2</x:v>
      </x:c>
      <x:c r="H5" s="99" t="str">
        <x:v>Analista</x:v>
      </x:c>
      <x:c r="I5" s="108" t="n">
        <x:v>1600</x:v>
      </x:c>
      <x:c r="J5" s="108" t="n">
        <x:v>736</x:v>
      </x:c>
      <x:c r="K5" s="111" t="n">
        <x:v>1</x:v>
      </x:c>
      <x:c r="L5" s="111" t="n">
        <x:f>MAX(0,MIN(1,($C$13-E5)/(F5-E5)))</x:f>
        <x:v>1</x:v>
      </x:c>
      <x:c r="M5" s="108" t="n">
        <x:f>I5*L5</x:f>
        <x:v>1600</x:v>
      </x:c>
      <x:c r="N5" s="114" t="n">
        <x:f>I5*K5</x:f>
        <x:v>1600</x:v>
      </x:c>
      <x:c r="O5" s="156" t="str">
        <x:v>C</x:v>
      </x:c>
      <x:c r="P5" s="105"/>
      <x:c r="Q5" s="162" t="str"/>
      <x:c r="R5" s="162" t="str"/>
      <x:c r="S5" s="162" t="str"/>
      <x:c r="T5" s="162" t="str"/>
      <x:c r="U5" s="175"/>
      <x:c r="V5" s="105"/>
      <x:c r="W5" s="105"/>
      <x:c r="X5" s="105"/>
      <x:c r="Y5" s="105"/>
      <x:c r="Z5" s="152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 s="27"/>
      <x:c r="BB5" s="27"/>
      <x:c r="BC5" s="27"/>
      <x:c r="BD5" s="27"/>
      <x:c r="BE5" s="27"/>
      <x:c r="BF5" s="27"/>
      <x:c r="BG5" s="27"/>
      <x:c r="BH5" s="27"/>
      <x:c r="BI5" s="27"/>
      <x:c r="BJ5" s="27"/>
    </x:row>
    <x:row r="6" ht="24.899999618530273" customHeight="1">
      <x:c r="B6" s="98" t="str">
        <x:v>D</x:v>
      </x:c>
      <x:c r="C6" s="99" t="str">
        <x:v>A</x:v>
      </x:c>
      <x:c r="D6" s="105" t="n">
        <x:v>2</x:v>
      </x:c>
      <x:c r="E6" s="105" t="n">
        <x:v>1</x:v>
      </x:c>
      <x:c r="F6" s="105" t="n">
        <x:v>3</x:v>
      </x:c>
      <x:c r="G6" s="105" t="n">
        <x:v>1</x:v>
      </x:c>
      <x:c r="H6" s="99" t="str">
        <x:v>Programador</x:v>
      </x:c>
      <x:c r="I6" s="108" t="n">
        <x:v>300</x:v>
      </x:c>
      <x:c r="J6" s="108" t="n">
        <x:v>246</x:v>
      </x:c>
      <x:c r="K6" s="111" t="n">
        <x:v>1</x:v>
      </x:c>
      <x:c r="L6" s="111" t="n">
        <x:f>MAX(0,MIN(1,($C$13-E6)/(F6-E6)))</x:f>
        <x:v>1</x:v>
      </x:c>
      <x:c r="M6" s="108" t="n">
        <x:f>I6*L6</x:f>
        <x:v>300</x:v>
      </x:c>
      <x:c r="N6" s="114" t="n">
        <x:f>I6*K6</x:f>
        <x:v>300</x:v>
      </x:c>
      <x:c r="O6" s="156" t="str">
        <x:v>D</x:v>
      </x:c>
      <x:c r="P6" s="105"/>
      <x:c r="Q6" s="162" t="str"/>
      <x:c r="R6" s="162" t="str"/>
      <x:c r="S6" s="105"/>
      <x:c r="T6" s="105"/>
      <x:c r="U6" s="175"/>
      <x:c r="V6" s="105"/>
      <x:c r="W6" s="105"/>
      <x:c r="X6" s="105"/>
      <x:c r="Y6" s="105"/>
      <x:c r="Z6" s="152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 s="27"/>
      <x:c r="BB6" s="27"/>
      <x:c r="BC6" s="27"/>
      <x:c r="BD6" s="27"/>
      <x:c r="BE6" s="27"/>
      <x:c r="BF6" s="27"/>
      <x:c r="BG6" s="27"/>
      <x:c r="BH6" s="27"/>
      <x:c r="BI6" s="27"/>
      <x:c r="BJ6" s="27"/>
    </x:row>
    <x:row r="7" ht="24.899999618530273" customHeight="1">
      <x:c r="B7" s="98" t="str">
        <x:v>E</x:v>
      </x:c>
      <x:c r="C7" s="99" t="str">
        <x:v>B,C</x:v>
      </x:c>
      <x:c r="D7" s="105" t="n">
        <x:v>1</x:v>
      </x:c>
      <x:c r="E7" s="105" t="n">
        <x:v>5</x:v>
      </x:c>
      <x:c r="F7" s="105" t="n">
        <x:v>6</x:v>
      </x:c>
      <x:c r="G7" s="105" t="n">
        <x:v>2</x:v>
      </x:c>
      <x:c r="H7" s="99" t="str">
        <x:v>Analista</x:v>
      </x:c>
      <x:c r="I7" s="108" t="n">
        <x:v>400</x:v>
      </x:c>
      <x:c r="J7" s="108" t="n">
        <x:v>137.6</x:v>
      </x:c>
      <x:c r="K7" s="111" t="n">
        <x:v>0.4</x:v>
      </x:c>
      <x:c r="L7" s="111" t="n">
        <x:f>MAX(0,MIN(1,($C$13-E7)/(F7-E7)))</x:f>
        <x:v>1</x:v>
      </x:c>
      <x:c r="M7" s="108" t="n">
        <x:f>I7*L7</x:f>
        <x:v>400</x:v>
      </x:c>
      <x:c r="N7" s="114" t="n">
        <x:f>I7*K7</x:f>
        <x:v>160</x:v>
      </x:c>
      <x:c r="O7" s="156" t="str">
        <x:v>E</x:v>
      </x:c>
      <x:c r="P7" s="105"/>
      <x:c r="Q7" s="105"/>
      <x:c r="R7" s="105"/>
      <x:c r="S7" s="105"/>
      <x:c r="T7" s="105"/>
      <x:c r="U7" s="177" t="str"/>
      <x:c r="V7" s="105"/>
      <x:c r="W7" s="105"/>
      <x:c r="X7" s="105"/>
      <x:c r="Y7" s="105"/>
      <x:c r="Z7" s="152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 s="27"/>
      <x:c r="BB7" s="27"/>
      <x:c r="BC7" s="27"/>
      <x:c r="BD7" s="27"/>
      <x:c r="BE7" s="27"/>
      <x:c r="BF7" s="27"/>
      <x:c r="BG7" s="27"/>
      <x:c r="BH7" s="27"/>
      <x:c r="BI7" s="27"/>
      <x:c r="BJ7" s="27"/>
    </x:row>
    <x:row r="8" ht="24.899999618530273" customHeight="1">
      <x:c r="B8" s="98" t="str">
        <x:v>F</x:v>
      </x:c>
      <x:c r="C8" s="99" t="str">
        <x:v>C</x:v>
      </x:c>
      <x:c r="D8" s="105" t="n">
        <x:v>4</x:v>
      </x:c>
      <x:c r="E8" s="105" t="n">
        <x:v>5</x:v>
      </x:c>
      <x:c r="F8" s="105" t="n">
        <x:v>9</x:v>
      </x:c>
      <x:c r="G8" s="105" t="n">
        <x:v>2</x:v>
      </x:c>
      <x:c r="H8" s="99" t="str">
        <x:v>Programador</x:v>
      </x:c>
      <x:c r="I8" s="108" t="n">
        <x:v>1200</x:v>
      </x:c>
      <x:c r="J8" s="108" t="n">
        <x:v>342</x:v>
      </x:c>
      <x:c r="K8" s="111" t="n">
        <x:v>0.3</x:v>
      </x:c>
      <x:c r="L8" s="111" t="n">
        <x:f>MAX(0,MIN(1,($C$13-E8)/(F8-E8)))</x:f>
        <x:v>0.25</x:v>
      </x:c>
      <x:c r="M8" s="108" t="n">
        <x:f>I8*L8</x:f>
        <x:v>300</x:v>
      </x:c>
      <x:c r="N8" s="114" t="n">
        <x:f>I8*K8</x:f>
        <x:v>360</x:v>
      </x:c>
      <x:c r="O8" s="156" t="str">
        <x:v>F</x:v>
      </x:c>
      <x:c r="P8" s="105"/>
      <x:c r="Q8" s="105"/>
      <x:c r="R8" s="105"/>
      <x:c r="S8" s="105"/>
      <x:c r="T8" s="105"/>
      <x:c r="U8" s="177" t="str"/>
      <x:c r="V8" s="162" t="str"/>
      <x:c r="W8" s="162" t="str"/>
      <x:c r="X8" s="162" t="str"/>
      <x:c r="Y8" s="105"/>
      <x:c r="Z8" s="152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 s="27"/>
      <x:c r="BB8" s="27"/>
      <x:c r="BC8" s="27"/>
      <x:c r="BD8" s="27"/>
      <x:c r="BE8" s="27"/>
      <x:c r="BF8" s="27"/>
      <x:c r="BG8" s="27"/>
      <x:c r="BH8" s="27"/>
      <x:c r="BI8" s="27"/>
      <x:c r="BJ8" s="27"/>
    </x:row>
    <x:row r="9" ht="24.899999618530273" customHeight="1">
      <x:c r="B9" s="98" t="str">
        <x:v>G</x:v>
      </x:c>
      <x:c r="C9" s="99" t="str">
        <x:v>C,D</x:v>
      </x:c>
      <x:c r="D9" s="105" t="n">
        <x:v>4</x:v>
      </x:c>
      <x:c r="E9" s="105" t="n">
        <x:v>5</x:v>
      </x:c>
      <x:c r="F9" s="105" t="n">
        <x:v>9</x:v>
      </x:c>
      <x:c r="G9" s="105" t="n">
        <x:v>2</x:v>
      </x:c>
      <x:c r="H9" s="99" t="str">
        <x:v>Programador</x:v>
      </x:c>
      <x:c r="I9" s="108" t="n">
        <x:v>1200</x:v>
      </x:c>
      <x:c r="J9" s="108" t="n">
        <x:v>201.6</x:v>
      </x:c>
      <x:c r="K9" s="111" t="n">
        <x:v>0.2</x:v>
      </x:c>
      <x:c r="L9" s="111" t="n">
        <x:f>MAX(0,MIN(1,($C$13-E9)/(F9-E9)))</x:f>
        <x:v>0.25</x:v>
      </x:c>
      <x:c r="M9" s="108" t="n">
        <x:f>I9*L9</x:f>
        <x:v>300</x:v>
      </x:c>
      <x:c r="N9" s="114" t="n">
        <x:f>I9*K9</x:f>
        <x:v>240</x:v>
      </x:c>
      <x:c r="O9" s="156" t="str">
        <x:v>G</x:v>
      </x:c>
      <x:c r="P9" s="105"/>
      <x:c r="Q9" s="105"/>
      <x:c r="R9" s="105"/>
      <x:c r="S9" s="105"/>
      <x:c r="T9" s="105"/>
      <x:c r="U9" s="177" t="str"/>
      <x:c r="V9" s="162" t="str"/>
      <x:c r="W9" s="162" t="str"/>
      <x:c r="X9" s="162" t="str"/>
      <x:c r="Y9" s="105"/>
      <x:c r="Z9" s="152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 s="27"/>
      <x:c r="BB9" s="27"/>
      <x:c r="BC9" s="27"/>
      <x:c r="BD9" s="27"/>
      <x:c r="BE9" s="27"/>
      <x:c r="BF9" s="27"/>
      <x:c r="BG9" s="27"/>
      <x:c r="BH9" s="27"/>
      <x:c r="BI9" s="27"/>
      <x:c r="BJ9" s="27"/>
    </x:row>
    <x:row r="10" ht="24.899999618530273" customHeight="1">
      <x:c r="B10" s="101" t="str">
        <x:v>H</x:v>
      </x:c>
      <x:c r="C10" s="102" t="str">
        <x:v>E,F,G</x:v>
      </x:c>
      <x:c r="D10" s="106" t="n">
        <x:v>1</x:v>
      </x:c>
      <x:c r="E10" s="106" t="n">
        <x:v>9</x:v>
      </x:c>
      <x:c r="F10" s="106" t="n">
        <x:v>10</x:v>
      </x:c>
      <x:c r="G10" s="106" t="n">
        <x:v>2</x:v>
      </x:c>
      <x:c r="H10" s="102" t="str">
        <x:v>Programador</x:v>
      </x:c>
      <x:c r="I10" s="109" t="n">
        <x:v>300</x:v>
      </x:c>
      <x:c r="J10" s="109" t="n">
        <x:v>0</x:v>
      </x:c>
      <x:c r="K10" s="112" t="n">
        <x:v>0</x:v>
      </x:c>
      <x:c r="L10" s="112" t="n">
        <x:f>MAX(0,MIN(1,($C$13-E10)/(F10-E10)))</x:f>
        <x:v>0</x:v>
      </x:c>
      <x:c r="M10" s="109" t="n">
        <x:f>I10*L10</x:f>
        <x:v>0</x:v>
      </x:c>
      <x:c r="N10" s="115" t="n">
        <x:f>I10*K10</x:f>
        <x:v>0</x:v>
      </x:c>
      <x:c r="O10" s="157" t="str">
        <x:v>H</x:v>
      </x:c>
      <x:c r="P10" s="106"/>
      <x:c r="Q10" s="106"/>
      <x:c r="R10" s="106"/>
      <x:c r="S10" s="106"/>
      <x:c r="T10" s="106"/>
      <x:c r="U10" s="179"/>
      <x:c r="V10" s="106"/>
      <x:c r="W10" s="106"/>
      <x:c r="X10" s="106"/>
      <x:c r="Y10" s="168" t="str"/>
      <x:c r="Z10" s="154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 s="27"/>
      <x:c r="BB10" s="27"/>
      <x:c r="BC10" s="27"/>
      <x:c r="BD10" s="27"/>
      <x:c r="BE10" s="27"/>
      <x:c r="BF10" s="27"/>
      <x:c r="BG10" s="27"/>
      <x:c r="BH10" s="27"/>
      <x:c r="BI10" s="27"/>
      <x:c r="BJ10" s="27"/>
    </x:row>
    <x:row r="11" s="15" customFormat="1" ht="24.899999618530273" customHeight="1">
      <x:c r="P11"/>
      <x:c r="Q11"/>
      <x:c r="R11"/>
      <x:c r="S11"/>
      <x:c r="T11"/>
      <x:c r="U11" s="18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 s="16"/>
      <x:c r="BB11" s="16"/>
      <x:c r="BC11" s="16"/>
      <x:c r="BD11" s="16"/>
      <x:c r="BE11" s="16"/>
      <x:c r="BF11" s="4"/>
      <x:c r="BG11" s="4"/>
      <x:c r="BH11" s="4"/>
      <x:c r="BI11" s="4"/>
      <x:c r="BJ11" s="4"/>
      <x:c r="BK11" s="4"/>
      <x:c r="BL11" s="22"/>
      <x:c r="BM11" s="22"/>
      <x:c r="BN11" s="22"/>
      <x:c r="BO11" s="22"/>
      <x:c r="BP11" s="22"/>
      <x:c r="BQ11" s="22"/>
      <x:c r="BR11" s="22"/>
      <x:c r="BS11" s="22"/>
      <x:c r="BT11" s="22"/>
      <x:c r="BU11" s="22"/>
      <x:c r="BV11" s="22"/>
      <x:c r="BW11" s="22"/>
    </x:row>
    <x:row r="12" s="15" customFormat="1" ht="21">
      <x:c r="B12"/>
      <x:c r="C12"/>
      <x:c r="D12"/>
      <x:c r="E12"/>
      <x:c r="F12"/>
      <x:c r="G12"/>
      <x:c r="H12"/>
      <x:c r="I12"/>
      <x:c r="J12"/>
      <x:c r="P12"/>
      <x:c r="Q12"/>
      <x:c r="R12"/>
      <x:c r="S12"/>
      <x:c r="T12"/>
      <x:c r="U12" s="181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 s="16"/>
      <x:c r="BB12" s="16"/>
      <x:c r="BC12" s="16"/>
      <x:c r="BD12" s="16"/>
      <x:c r="BE12" s="16"/>
      <x:c r="BF12" s="4"/>
      <x:c r="BG12" s="4"/>
      <x:c r="BH12" s="4"/>
      <x:c r="BI12" s="4"/>
      <x:c r="BJ12" s="4"/>
      <x:c r="BK12" s="4"/>
      <x:c r="BL12" s="22"/>
      <x:c r="BM12" s="22"/>
      <x:c r="BN12" s="22"/>
      <x:c r="BO12" s="22"/>
      <x:c r="BP12" s="22"/>
      <x:c r="BQ12" s="22"/>
      <x:c r="BR12" s="22"/>
      <x:c r="BS12" s="22"/>
      <x:c r="BT12" s="22"/>
      <x:c r="BU12" s="22"/>
      <x:c r="BV12" s="22"/>
      <x:c r="BW12" s="22"/>
    </x:row>
    <x:row r="13" s="15" customFormat="1" ht="24.899999618530273" customHeight="1">
      <x:c r="B13" s="121" t="str">
        <x:v>Semana de control</x:v>
      </x:c>
      <x:c r="C13" s="122" t="n">
        <x:v>6</x:v>
      </x:c>
      <x:c r="D13" s="122" t="str">
        <x:v>Fecha de estado</x:v>
      </x:c>
      <x:c r="E13" s="123" t="str">
        <x:v>Fin de semana 6</x:v>
      </x:c>
      <x:c r="F13"/>
      <x:c r="G13"/>
      <x:c r="H13"/>
      <x:c r="I13"/>
      <x:c r="J13"/>
      <x:c r="P13"/>
      <x:c r="Q13"/>
      <x:c r="R13"/>
      <x:c r="S13"/>
      <x:c r="T13"/>
      <x:c r="U13" s="181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 s="16"/>
      <x:c r="BB13" s="16"/>
      <x:c r="BC13" s="16"/>
      <x:c r="BD13" s="16"/>
      <x:c r="BE13" s="16"/>
      <x:c r="BF13" s="4"/>
      <x:c r="BG13" s="4"/>
      <x:c r="BH13" s="4"/>
      <x:c r="BI13" s="4"/>
      <x:c r="BJ13" s="4"/>
      <x:c r="BK13" s="4"/>
      <x:c r="BL13" s="22"/>
      <x:c r="BM13" s="22"/>
      <x:c r="BN13" s="22"/>
      <x:c r="BO13" s="22"/>
      <x:c r="BP13" s="22"/>
      <x:c r="BQ13" s="22"/>
      <x:c r="BR13" s="22"/>
      <x:c r="BS13" s="22"/>
      <x:c r="BT13" s="22"/>
      <x:c r="BU13" s="22"/>
      <x:c r="BV13" s="22"/>
      <x:c r="BW13" s="22"/>
    </x:row>
    <x:row r="14" s="15" customFormat="1" ht="24.899999618530273" customHeight="1">
      <x:c r="B14"/>
      <x:c r="C14"/>
      <x:c r="D14"/>
      <x:c r="E14"/>
      <x:c r="F14"/>
      <x:c r="G14"/>
      <x:c r="H14"/>
      <x:c r="I14"/>
      <x:c r="J14"/>
      <x:c r="K14"/>
      <x:c r="P14"/>
      <x:c r="Q14"/>
      <x:c r="R14"/>
      <x:c r="S14"/>
      <x:c r="T14"/>
      <x:c r="U14" s="181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 s="16"/>
      <x:c r="BB14" s="16"/>
      <x:c r="BC14" s="16"/>
      <x:c r="BD14" s="16"/>
      <x:c r="BE14" s="16"/>
      <x:c r="BF14" s="4"/>
      <x:c r="BG14" s="4"/>
      <x:c r="BH14" s="4"/>
      <x:c r="BI14" s="4"/>
      <x:c r="BJ14" s="4"/>
      <x:c r="BK14" s="4"/>
      <x:c r="BL14" s="22"/>
      <x:c r="BM14" s="22"/>
      <x:c r="BN14" s="22"/>
      <x:c r="BO14" s="22"/>
      <x:c r="BP14" s="22"/>
      <x:c r="BQ14" s="22"/>
      <x:c r="BR14" s="22"/>
      <x:c r="BS14" s="22"/>
      <x:c r="BT14" s="22"/>
      <x:c r="BU14" s="22"/>
      <x:c r="BV14" s="22"/>
      <x:c r="BW14" s="22"/>
    </x:row>
    <x:row r="15" s="15" customFormat="1" ht="21">
      <x:c r="B15" s="81" t="str">
        <x:v>Indicador</x:v>
      </x:c>
      <x:c r="C15" s="81" t="str">
        <x:v>Cálculo en la hoja</x:v>
      </x:c>
      <x:c r="D15" s="81" t="str">
        <x:v>Valor</x:v>
      </x:c>
      <x:c r="E15" s="81" t="str">
        <x:v>Respuesta</x:v>
      </x:c>
      <x:c r="F15"/>
      <x:c r="G15"/>
      <x:c r="H15"/>
      <x:c r="I15"/>
      <x:c r="J15"/>
      <x:c r="K15"/>
      <x:c r="P15"/>
      <x:c r="Q15"/>
      <x:c r="R15"/>
      <x:c r="S15"/>
      <x:c r="T15"/>
      <x:c r="U15" s="181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 s="16"/>
      <x:c r="BB15" s="16"/>
      <x:c r="BC15" s="16"/>
      <x:c r="BD15" s="16"/>
      <x:c r="BE15" s="16"/>
      <x:c r="BF15" s="4"/>
      <x:c r="BG15" s="4"/>
      <x:c r="BH15" s="4"/>
      <x:c r="BI15" s="4"/>
      <x:c r="BJ15" s="4"/>
      <x:c r="BK15" s="4"/>
      <x:c r="BL15" s="22"/>
      <x:c r="BM15" s="22"/>
      <x:c r="BN15" s="22"/>
      <x:c r="BO15" s="22"/>
      <x:c r="BP15" s="22"/>
      <x:c r="BQ15" s="22"/>
      <x:c r="BR15" s="22"/>
      <x:c r="BS15" s="22"/>
      <x:c r="BT15" s="22"/>
      <x:c r="BU15" s="22"/>
      <x:c r="BV15" s="22"/>
      <x:c r="BW15" s="22"/>
    </x:row>
    <x:row r="16" ht="24.899999618530273" customHeight="1">
      <x:c r="B16" s="95" t="str">
        <x:v>BAC</x:v>
      </x:c>
      <x:c r="C16" s="96" t="str">
        <x:v>SUM(I3:I10)</x:v>
      </x:c>
      <x:c r="D16" s="107" t="n">
        <x:f>ROUND(SUM(I3:I10),3)</x:f>
        <x:v>6400</x:v>
      </x:c>
      <x:c r="E16" s="97" t="str">
        <x:v>6400.000</x:v>
      </x:c>
      <x:c r="M16"/>
      <x:c r="N16"/>
      <x:c r="O16"/>
      <x:c r="P16"/>
      <x:c r="Q16"/>
      <x:c r="R16"/>
      <x:c r="S16"/>
      <x:c r="T16"/>
      <x:c r="U16" s="181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</x:row>
    <x:row r="17" ht="24.899999618530273" customHeight="1">
      <x:c r="B17" s="98" t="str">
        <x:v>VP</x:v>
      </x:c>
      <x:c r="C17" s="99" t="str">
        <x:v>SUM(M3:M10)</x:v>
      </x:c>
      <x:c r="D17" s="108" t="n">
        <x:f>ROUND(SUM(M3:M10),3)</x:f>
        <x:v>4300</x:v>
      </x:c>
      <x:c r="E17" s="100" t="str">
        <x:v>4300.000</x:v>
      </x:c>
      <x:c r="M17"/>
      <x:c r="N17"/>
      <x:c r="O17"/>
      <x:c r="P17"/>
      <x:c r="Q17"/>
      <x:c r="R17"/>
      <x:c r="S17"/>
      <x:c r="T17"/>
      <x:c r="U17" s="181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</x:row>
    <x:row r="18" ht="24.899999618530273" customHeight="1">
      <x:c r="B18" s="98" t="str">
        <x:v>CR</x:v>
      </x:c>
      <x:c r="C18" s="99" t="str">
        <x:v>SUM(J3:J10)</x:v>
      </x:c>
      <x:c r="D18" s="108" t="n">
        <x:f>ROUND(SUM(J3:J10),3)</x:f>
        <x:v>2911.2</x:v>
      </x:c>
      <x:c r="E18" s="100" t="str">
        <x:v>2911.200</x:v>
      </x:c>
      <x:c r="M18"/>
      <x:c r="N18"/>
      <x:c r="O18"/>
      <x:c r="P18"/>
      <x:c r="Q18"/>
      <x:c r="R18"/>
      <x:c r="S18"/>
      <x:c r="T18"/>
      <x:c r="U18" s="181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</x:row>
    <x:row r="19" ht="24.899999618530273" customHeight="1">
      <x:c r="B19" s="98" t="str">
        <x:v>VG</x:v>
      </x:c>
      <x:c r="C19" s="99" t="str">
        <x:v>SUM(N3:N10)</x:v>
      </x:c>
      <x:c r="D19" s="108" t="n">
        <x:f>ROUND(SUM(N3:N10),3)</x:f>
        <x:v>4060</x:v>
      </x:c>
      <x:c r="E19" s="100" t="str">
        <x:v>4060.000</x:v>
      </x:c>
      <x:c r="M19"/>
      <x:c r="N19"/>
      <x:c r="O19"/>
      <x:c r="P19"/>
      <x:c r="Q19"/>
      <x:c r="R19"/>
      <x:c r="S19"/>
      <x:c r="T19"/>
      <x:c r="U19" s="181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</x:row>
    <x:row r="20" ht="24.899999618530273" customHeight="1">
      <x:c r="B20" s="124" t="str">
        <x:v>CV</x:v>
      </x:c>
      <x:c r="C20" s="125" t="str">
        <x:v>VG - CR</x:v>
      </x:c>
      <x:c r="D20" s="126" t="n">
        <x:f>ROUND(D19-D18,3)</x:f>
        <x:v>1148.8</x:v>
      </x:c>
      <x:c r="E20" s="127" t="str">
        <x:v>1148.800</x:v>
      </x:c>
      <x:c r="M20"/>
      <x:c r="N20"/>
      <x:c r="O20"/>
      <x:c r="P20"/>
      <x:c r="Q20"/>
      <x:c r="R20"/>
      <x:c r="S20"/>
      <x:c r="T20"/>
      <x:c r="U20" s="181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</x:row>
    <x:row r="21" ht="24.899999618530273" customHeight="1">
      <x:c r="B21" s="98" t="str">
        <x:v>CPI</x:v>
      </x:c>
      <x:c r="C21" s="99" t="str">
        <x:v>VG / CR</x:v>
      </x:c>
      <x:c r="D21" s="108" t="n">
        <x:f>ROUND(D19/D18,3)</x:f>
        <x:v>1.395</x:v>
      </x:c>
      <x:c r="E21" s="100" t="str">
        <x:v>1.395</x:v>
      </x:c>
      <x:c r="M21"/>
      <x:c r="N21"/>
      <x:c r="O21"/>
      <x:c r="P21"/>
      <x:c r="Q21"/>
      <x:c r="R21"/>
      <x:c r="S21"/>
      <x:c r="T21"/>
      <x:c r="U21" s="18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</x:row>
    <x:row r="22">
      <x:c r="B22" s="128" t="str">
        <x:v>SV</x:v>
      </x:c>
      <x:c r="C22" s="129" t="str">
        <x:v>VG - VP</x:v>
      </x:c>
      <x:c r="D22" s="130" t="n">
        <x:f>ROUND(D19-D17,3)</x:f>
        <x:v>-240</x:v>
      </x:c>
      <x:c r="E22" s="131" t="str">
        <x:v>-240.000</x:v>
      </x:c>
      <x:c r="U22" s="181"/>
    </x:row>
    <x:row r="23">
      <x:c r="B23" s="98" t="str">
        <x:v>SPI</x:v>
      </x:c>
      <x:c r="C23" s="99" t="str">
        <x:v>VG / VP</x:v>
      </x:c>
      <x:c r="D23" s="108" t="n">
        <x:f>ROUND(D19/D17,3)</x:f>
        <x:v>0.944</x:v>
      </x:c>
      <x:c r="E23" s="100" t="str">
        <x:v>0.944</x:v>
      </x:c>
      <x:c r="U23" s="181"/>
    </x:row>
    <x:row r="24">
      <x:c r="B24" s="132" t="str">
        <x:v>ETC</x:v>
      </x:c>
      <x:c r="C24" s="133" t="str">
        <x:v>BAC - VG; variación no repetible</x:v>
      </x:c>
      <x:c r="D24" s="134" t="n">
        <x:f>ROUND(D16-D19,3)</x:f>
        <x:v>2340</x:v>
      </x:c>
      <x:c r="E24" s="135" t="str">
        <x:v>2340.000</x:v>
      </x:c>
      <x:c r="U24" s="181"/>
    </x:row>
    <x:row r="25">
      <x:c r="B25" s="136" t="str">
        <x:v>EAC</x:v>
      </x:c>
      <x:c r="C25" s="137" t="str">
        <x:v>CR + ETC</x:v>
      </x:c>
      <x:c r="D25" s="138" t="n">
        <x:f>ROUND(D18+D24,3)</x:f>
        <x:v>5251.2</x:v>
      </x:c>
      <x:c r="E25" s="139" t="str">
        <x:v>5251.200</x:v>
      </x:c>
      <x:c r="U25" s="181"/>
    </x:row>
    <x:row r="26" ht="24.899999618530273" customHeight="1">
      <x:c r="K26" s="195" t="str">
        <x:v>En semana</x:v>
      </x:c>
      <x:c r="L26" s="196" t="n">
        <x:v>6</x:v>
      </x:c>
      <x:c r="O26" s="81" t="str">
        <x:v>Situación real (semana 6)</x:v>
      </x:c>
      <x:c r="P26" s="81" t="n">
        <x:v>1</x:v>
      </x:c>
      <x:c r="Q26" s="81" t="n">
        <x:v>2</x:v>
      </x:c>
      <x:c r="R26" s="81" t="n">
        <x:v>3</x:v>
      </x:c>
      <x:c r="S26" s="81" t="n">
        <x:v>4</x:v>
      </x:c>
      <x:c r="T26" s="81" t="n">
        <x:v>5</x:v>
      </x:c>
      <x:c r="U26" s="171" t="n">
        <x:v>6</x:v>
      </x:c>
      <x:c r="V26" s="81" t="n">
        <x:v>7</x:v>
      </x:c>
      <x:c r="W26" s="81" t="n">
        <x:v>8</x:v>
      </x:c>
      <x:c r="X26" s="81" t="n">
        <x:v>9</x:v>
      </x:c>
      <x:c r="Y26" s="81" t="n">
        <x:v>10</x:v>
      </x:c>
      <x:c r="Z26" s="81" t="n">
        <x:v>11</x:v>
      </x:c>
      <x:c r="AJ26"/>
      <x:c r="AK26"/>
      <x:c r="AL26"/>
      <x:c r="AM26"/>
      <x:c r="AN26"/>
      <x:c r="AO26"/>
      <x:c r="AP26"/>
      <x:c r="AQ26"/>
    </x:row>
    <x:row r="27" ht="24.899999618530273" customHeight="1">
      <x:c r="O27" s="155" t="str">
        <x:v>A</x:v>
      </x:c>
      <x:c r="P27" s="186" t="str">
        <x:v>◆</x:v>
      </x:c>
      <x:c r="Q27" s="104"/>
      <x:c r="R27" s="104"/>
      <x:c r="S27" s="104"/>
      <x:c r="T27" s="104"/>
      <x:c r="U27" s="173"/>
      <x:c r="V27" s="104"/>
      <x:c r="W27" s="104"/>
      <x:c r="X27" s="104"/>
      <x:c r="Y27" s="104"/>
      <x:c r="Z27" s="150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</x:row>
    <x:row r="28" ht="24.899999618530273" customHeight="1">
      <x:c r="B28" s="79" t="str">
        <x:v>Leyenda</x:v>
      </x:c>
      <x:c r="C28" s="79"/>
      <x:c r="D28" s="79"/>
      <x:c r="E28" s="79"/>
      <x:c r="O28" s="156" t="str">
        <x:v>B</x:v>
      </x:c>
      <x:c r="P28" s="105"/>
      <x:c r="Q28" s="163"/>
      <x:c r="R28" s="163"/>
      <x:c r="S28" s="187" t="str">
        <x:v>◆</x:v>
      </x:c>
      <x:c r="T28" s="105"/>
      <x:c r="U28" s="175"/>
      <x:c r="V28" s="105"/>
      <x:c r="W28" s="105"/>
      <x:c r="X28" s="105"/>
      <x:c r="Y28" s="105"/>
      <x:c r="Z28" s="152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</x:row>
    <x:row r="29" ht="24.899999618530273" customHeight="1">
      <x:c r="B29" s="197" t="str">
        <x:v>Azul</x:v>
      </x:c>
      <x:c r="C29" s="96" t="str">
        <x:v>Trabajo planificado</x:v>
      </x:c>
      <x:c r="D29" s="96"/>
      <x:c r="E29" s="97"/>
      <x:c r="O29" s="156" t="str">
        <x:v>C</x:v>
      </x:c>
      <x:c r="P29" s="105"/>
      <x:c r="Q29" s="163"/>
      <x:c r="R29" s="163"/>
      <x:c r="S29" s="163"/>
      <x:c r="T29" s="187" t="str">
        <x:v>◆</x:v>
      </x:c>
      <x:c r="U29" s="175"/>
      <x:c r="V29" s="105"/>
      <x:c r="W29" s="105"/>
      <x:c r="X29" s="105"/>
      <x:c r="Y29" s="105"/>
      <x:c r="Z29" s="152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</x:row>
    <x:row r="30" ht="24.899999618530273" customHeight="1">
      <x:c r="B30" s="198" t="str">
        <x:v>Verde</x:v>
      </x:c>
      <x:c r="C30" s="99" t="str">
        <x:v>Trabajo realizado proporcionalmente</x:v>
      </x:c>
      <x:c r="D30" s="99"/>
      <x:c r="E30" s="100"/>
      <x:c r="O30" s="156" t="str">
        <x:v>D</x:v>
      </x:c>
      <x:c r="P30" s="105"/>
      <x:c r="Q30" s="163"/>
      <x:c r="R30" s="187" t="str">
        <x:v>◆</x:v>
      </x:c>
      <x:c r="S30" s="105"/>
      <x:c r="T30" s="105"/>
      <x:c r="U30" s="175"/>
      <x:c r="V30" s="105"/>
      <x:c r="W30" s="105"/>
      <x:c r="X30" s="105"/>
      <x:c r="Y30" s="105"/>
      <x:c r="Z30" s="152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</x:row>
    <x:row r="31" ht="24.899999618530273" customHeight="1">
      <x:c r="B31" s="199" t="str">
        <x:v>Rojo</x:v>
      </x:c>
      <x:c r="C31" s="99" t="str">
        <x:v>Semana 6 y línea quebrada de situación</x:v>
      </x:c>
      <x:c r="D31" s="99"/>
      <x:c r="E31" s="100"/>
      <x:c r="O31" s="156" t="str">
        <x:v>E</x:v>
      </x:c>
      <x:c r="P31" s="105"/>
      <x:c r="Q31" s="105"/>
      <x:c r="R31" s="105"/>
      <x:c r="S31" s="105"/>
      <x:c r="T31" s="105"/>
      <x:c r="U31" s="188" t="str">
        <x:v>◆</x:v>
      </x:c>
      <x:c r="V31" s="105"/>
      <x:c r="W31" s="105"/>
      <x:c r="X31" s="105"/>
      <x:c r="Y31" s="105"/>
      <x:c r="Z31" s="152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</x:row>
    <x:row r="32" ht="24.899999618530273" customHeight="1">
      <x:c r="B32" s="98" t="str">
        <x:v>VP</x:v>
      </x:c>
      <x:c r="C32" s="99" t="str">
        <x:v>Incluye avance planificado parcial de F y G a semana 6</x:v>
      </x:c>
      <x:c r="D32" s="99"/>
      <x:c r="E32" s="100"/>
      <x:c r="O32" s="156" t="str">
        <x:v>F</x:v>
      </x:c>
      <x:c r="P32" s="105"/>
      <x:c r="Q32" s="105"/>
      <x:c r="R32" s="105"/>
      <x:c r="S32" s="105"/>
      <x:c r="T32" s="105"/>
      <x:c r="U32" s="185"/>
      <x:c r="V32" s="189" t="str">
        <x:v>◆</x:v>
      </x:c>
      <x:c r="W32" s="166"/>
      <x:c r="X32" s="166"/>
      <x:c r="Y32" s="105"/>
      <x:c r="Z32" s="15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</x:row>
    <x:row r="33" ht="24.899999618530273" customHeight="1">
      <x:c r="B33" s="101" t="str">
        <x:v>ETC/EAC</x:v>
      </x:c>
      <x:c r="C33" s="102" t="str">
        <x:v>Se asume que las variaciones de coste no se repiten</x:v>
      </x:c>
      <x:c r="D33" s="102"/>
      <x:c r="E33" s="103"/>
      <x:c r="O33" s="156" t="str">
        <x:v>G</x:v>
      </x:c>
      <x:c r="P33" s="105"/>
      <x:c r="Q33" s="105"/>
      <x:c r="R33" s="105"/>
      <x:c r="S33" s="105"/>
      <x:c r="T33" s="105"/>
      <x:c r="U33" s="188" t="str">
        <x:v>◆</x:v>
      </x:c>
      <x:c r="V33" s="166"/>
      <x:c r="W33" s="166"/>
      <x:c r="X33" s="166"/>
      <x:c r="Y33" s="105"/>
      <x:c r="Z33" s="152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</x:row>
    <x:row r="34" ht="24.899999618530273" customHeight="1">
      <x:c r="O34" s="157" t="str">
        <x:v>H</x:v>
      </x:c>
      <x:c r="P34" s="106"/>
      <x:c r="Q34" s="106"/>
      <x:c r="R34" s="106"/>
      <x:c r="S34" s="106"/>
      <x:c r="T34" s="106"/>
      <x:c r="U34" s="179"/>
      <x:c r="V34" s="106"/>
      <x:c r="W34" s="106"/>
      <x:c r="X34" s="190" t="str">
        <x:v>◆</x:v>
      </x:c>
      <x:c r="Y34" s="169"/>
      <x:c r="Z34" s="15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</x:row>
    <x:row r="35" ht="24.899999618530273" customHeight="1">
      <x:c r="O35"/>
      <x:c r="P35"/>
      <x:c r="Q35"/>
      <x:c r="R35"/>
      <x:c r="S35"/>
      <x:c r="T35"/>
      <x:c r="U35" s="181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</x:row>
    <x:row r="38" ht="24.899999618530273" customHeight="1"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</x:row>
    <x:row r="39" ht="24.899999618530273" customHeight="1"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</x:row>
  </x:sheetData>
  <x:conditionalFormatting sqref="P3:AQ10">
    <x:cfRule type="expression" dxfId="21" priority="27">
      <x:formula>P3&lt;&gt;""</x:formula>
    </x:cfRule>
  </x:conditionalFormatting>
  <x:conditionalFormatting sqref="P27:AQ34">
    <x:cfRule type="expression" dxfId="20" priority="9">
      <x:formula>P27&lt;&gt;""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399999618530273"/>
  <x:cols>
    <x:col min="1" max="1" width="9" customWidth="1"/>
    <x:col min="2" max="2" width="15.88671875" customWidth="1"/>
    <x:col min="3" max="32" width="4.6640625" customWidth="1"/>
  </x:cols>
  <x:sheetData>
    <x:row r="1" ht="13.949999809265137" customHeight="1">
      <x:c r="A1" s="202" t="str">
        <x:v>Hoja no usada en este ejercicio</x:v>
      </x:c>
      <x:c r="B1" s="203"/>
      <x:c r="C1" s="203"/>
      <x:c r="D1" s="203"/>
      <x:c r="E1" s="204"/>
    </x:row>
    <x:row r="2" ht="13.949999809265137" customHeight="1">
      <x:c r="A2" s="205" t="str">
        <x:v>Los cálculos requeridos están en la hoja 'Calculos Flujo de Caja'.</x:v>
      </x:c>
      <x:c r="B2" s="201"/>
      <x:c r="C2" s="201"/>
      <x:c r="D2" s="201"/>
      <x:c r="E2" s="206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</x:row>
    <x:row r="3" ht="13.949999809265137" customHeight="1">
      <x:c r="A3" s="207" t="str">
        <x:v>Se ha limpiado esta pestaña para evitar referencias rotas de la plantilla original.</x:v>
      </x:c>
      <x:c r="B3" s="208"/>
      <x:c r="C3" s="208"/>
      <x:c r="D3" s="208"/>
      <x:c r="E3" s="209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</x:row>
    <x:row r="4" ht="13.949999809265137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</x:row>
    <x:row r="5" ht="13.949999809265137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</x:row>
    <x:row r="6" ht="13.949999809265137" customHeight="1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</x:row>
    <x:row r="7" ht="13.949999809265137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</x:row>
    <x:row r="8" ht="13.949999809265137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</x:row>
    <x:row r="9" ht="13.949999809265137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</x:row>
    <x:row r="10" ht="13.949999809265137" customHeight="1">
      <x:c r="A10"/>
      <x:c r="B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</x:row>
    <x:row r="11" ht="13.949999809265137" customHeight="1">
      <x:c r="A11"/>
      <x:c r="B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</x:row>
    <x:row r="12" ht="13.949999809265137" customHeight="1">
      <x:c r="A12"/>
      <x:c r="B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</x:row>
    <x:row r="13" ht="13.949999809265137" customHeight="1">
      <x:c r="A13"/>
      <x:c r="B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</x:row>
    <x:row r="14" ht="13.949999809265137" customHeight="1">
      <x:c r="A14"/>
      <x:c r="B14"/>
      <x:c r="H14"/>
      <x:c r="K14"/>
      <x:c r="L14"/>
      <x:c r="M14"/>
      <x:c r="N14"/>
      <x:c r="O14"/>
      <x:c r="P14"/>
      <x:c r="Q14"/>
      <x:c r="R14"/>
      <x:c r="S14"/>
      <x:c r="T14"/>
      <x:c r="U14"/>
      <x:c r="V14"/>
      <x:c r="AB14"/>
      <x:c r="AC14"/>
      <x:c r="AD14"/>
      <x:c r="AE14"/>
      <x:c r="AF14"/>
    </x:row>
    <x:row r="15" ht="13.949999809265137" customHeight="1">
      <x:c r="A15"/>
      <x:c r="B15"/>
      <x:c r="H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</x:row>
    <x:row r="16" ht="13.949999809265137" customHeight="1">
      <x:c r="A16"/>
      <x:c r="B16"/>
      <x:c r="C16"/>
      <x:c r="D16"/>
      <x:c r="E16"/>
      <x:c r="F16"/>
      <x:c r="G16"/>
      <x:c r="H16"/>
      <x:c r="K16"/>
      <x:c r="L16"/>
      <x:c r="M16"/>
      <x:c r="N16"/>
      <x:c r="O16"/>
      <x:c r="P16"/>
      <x:c r="Q16"/>
      <x:c r="R16"/>
      <x:c r="S16"/>
      <x:c r="T16"/>
      <x:c r="U16"/>
      <x:c r="V16"/>
      <x:c r="X16"/>
      <x:c r="Y16"/>
      <x:c r="Z16"/>
      <x:c r="AA16"/>
      <x:c r="AB16"/>
      <x:c r="AC16"/>
      <x:c r="AD16"/>
      <x:c r="AE16"/>
      <x:c r="AF16"/>
    </x:row>
    <x:row r="17" ht="13.949999809265137" customHeight="1">
      <x:c r="A17"/>
      <x:c r="B17"/>
      <x:c r="C17"/>
      <x:c r="D17"/>
      <x:c r="E17"/>
      <x:c r="F17"/>
      <x:c r="G17"/>
      <x:c r="H17"/>
      <x:c r="K17"/>
      <x:c r="L17"/>
      <x:c r="M17"/>
      <x:c r="N17"/>
      <x:c r="O17"/>
      <x:c r="P17"/>
      <x:c r="Q17"/>
      <x:c r="R17"/>
      <x:c r="S17"/>
      <x:c r="T17"/>
      <x:c r="U17"/>
      <x:c r="V17"/>
      <x:c r="X17"/>
      <x:c r="Y17"/>
      <x:c r="Z17"/>
      <x:c r="AA17"/>
      <x:c r="AB17"/>
      <x:c r="AC17"/>
      <x:c r="AD17"/>
      <x:c r="AE17"/>
      <x:c r="AF17"/>
    </x:row>
    <x:row r="18" ht="13.949999809265137" customHeight="1">
      <x:c r="A18"/>
      <x:c r="B18"/>
      <x:c r="C18"/>
      <x:c r="D18"/>
      <x:c r="E18"/>
      <x:c r="F18"/>
      <x:c r="G18"/>
      <x:c r="H18"/>
      <x:c r="K18"/>
      <x:c r="L18"/>
      <x:c r="M18"/>
      <x:c r="N18"/>
      <x:c r="O18"/>
      <x:c r="Q18"/>
      <x:c r="R18"/>
      <x:c r="S18"/>
      <x:c r="T18"/>
      <x:c r="U18"/>
      <x:c r="V18"/>
      <x:c r="X18"/>
      <x:c r="Y18"/>
      <x:c r="Z18"/>
      <x:c r="AA18"/>
      <x:c r="AB18"/>
      <x:c r="AC18"/>
      <x:c r="AD18"/>
      <x:c r="AE18"/>
      <x:c r="AF18"/>
      <x:c r="AG18"/>
    </x:row>
    <x:row r="19" ht="13.949999809265137" customHeight="1">
      <x:c r="A19"/>
      <x:c r="B19"/>
      <x:c r="C19"/>
      <x:c r="D19"/>
      <x:c r="E19"/>
      <x:c r="F19"/>
      <x:c r="G19"/>
      <x:c r="H19"/>
      <x:c r="K19"/>
      <x:c r="L19"/>
      <x:c r="M19"/>
      <x:c r="N19"/>
      <x:c r="O19"/>
      <x:c r="Q19"/>
      <x:c r="R19"/>
      <x:c r="S19"/>
      <x:c r="T19"/>
      <x:c r="U19"/>
      <x:c r="X19"/>
      <x:c r="Y19"/>
      <x:c r="Z19"/>
      <x:c r="AA19"/>
      <x:c r="AC19"/>
      <x:c r="AD19"/>
      <x:c r="AE19"/>
      <x:c r="AF19"/>
      <x:c r="AG19"/>
    </x:row>
    <x:row r="20" ht="13.949999809265137" customHeight="1">
      <x:c r="A20"/>
      <x:c r="B20"/>
      <x:c r="C20"/>
      <x:c r="D20"/>
      <x:c r="E20"/>
      <x:c r="F20"/>
      <x:c r="G20"/>
      <x:c r="H20"/>
      <x:c r="X20"/>
      <x:c r="Y20"/>
      <x:c r="Z20"/>
      <x:c r="AA20"/>
      <x:c r="AC20"/>
      <x:c r="AD20"/>
      <x:c r="AE20"/>
      <x:c r="AF20"/>
      <x:c r="AG20"/>
    </x:row>
    <x:row r="21" ht="13.949999809265137" customHeight="1">
      <x:c r="A21"/>
      <x:c r="B21"/>
      <x:c r="C21"/>
      <x:c r="D21"/>
      <x:c r="E21"/>
      <x:c r="F21"/>
      <x:c r="G21"/>
      <x:c r="H21"/>
      <x:c r="J21"/>
      <x:c r="K21"/>
      <x:c r="L21"/>
      <x:c r="M21"/>
      <x:c r="W21"/>
      <x:c r="X21"/>
      <x:c r="Y21"/>
      <x:c r="Z21"/>
      <x:c r="AA21"/>
      <x:c r="AC21"/>
      <x:c r="AD21"/>
      <x:c r="AE21"/>
      <x:c r="AF21"/>
      <x:c r="AG21"/>
    </x:row>
    <x:row r="22" ht="13.949999809265137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X22"/>
      <x:c r="Y22"/>
      <x:c r="Z22"/>
      <x:c r="AA22"/>
      <x:c r="AC22"/>
      <x:c r="AD22"/>
      <x:c r="AE22"/>
      <x:c r="AF22"/>
      <x:c r="AG22"/>
    </x:row>
    <x:row r="23" ht="13.949999809265137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X23"/>
      <x:c r="Y23"/>
      <x:c r="Z23"/>
      <x:c r="AA23"/>
      <x:c r="AC23"/>
      <x:c r="AD23"/>
      <x:c r="AE23"/>
      <x:c r="AF23"/>
      <x:c r="AG23"/>
    </x:row>
    <x:row r="24" ht="13.949999809265137" customHeight="1"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X24"/>
      <x:c r="Y24"/>
      <x:c r="Z24"/>
      <x:c r="AA24"/>
      <x:c r="AB24"/>
      <x:c r="AC24"/>
      <x:c r="AD24"/>
      <x:c r="AE24"/>
      <x:c r="AF24"/>
    </x:row>
    <x:row r="25" ht="13.949999809265137" customHeight="1">
      <x:c r="X25"/>
      <x:c r="Y25"/>
      <x:c r="Z25"/>
      <x:c r="AA25"/>
      <x:c r="AB25"/>
    </x:row>
    <x:row r="26" ht="13.949999809265137" customHeight="1">
      <x:c r="X26"/>
      <x:c r="Y26"/>
      <x:c r="Z26"/>
      <x:c r="AA26"/>
      <x:c r="AB26"/>
    </x:row>
    <x:row r="27" ht="13.949999809265137" customHeight="1"/>
    <x:row r="28" ht="13.949999809265137" customHeight="1"/>
    <x:row r="29" ht="13.949999809265137" customHeight="1"/>
    <x:row r="30" ht="13.949999809265137" customHeight="1"/>
    <x:row r="31" ht="13.949999809265137" customHeight="1"/>
    <x:row r="32" ht="13.949999809265137" customHeight="1"/>
    <x:row r="33" ht="13.949999809265137" customHeight="1"/>
    <x:row r="34" ht="13.949999809265137" customHeight="1"/>
    <x:row r="35" ht="13.949999809265137" customHeight="1"/>
    <x:row r="36" ht="13.949999809265137" customHeight="1"/>
    <x:row r="37" ht="13.949999809265137" customHeight="1"/>
    <x:row r="38" ht="13.949999809265137" customHeight="1"/>
    <x:row r="39" ht="13.949999809265137" customHeight="1"/>
    <x:row r="40" ht="13.949999809265137" customHeight="1"/>
    <x:row r="41" ht="13.949999809265137" customHeight="1"/>
    <x:row r="42" ht="13.949999809265137" customHeight="1"/>
    <x:row r="43" ht="13.949999809265137" customHeight="1"/>
    <x:row r="44" ht="13.949999809265137" customHeight="1"/>
    <x:row r="45" ht="13.949999809265137" customHeight="1"/>
    <x:row r="46" ht="13.949999809265137" customHeight="1"/>
    <x:row r="47" ht="13.949999809265137" customHeight="1"/>
    <x:row r="48" ht="13.949999809265137" customHeight="1"/>
    <x:row r="49" ht="13.949999809265137" customHeight="1"/>
    <x:row r="50" ht="13.949999809265137" customHeight="1"/>
    <x:row r="51" ht="13.949999809265137" customHeight="1"/>
    <x:row r="52" ht="13.949999809265137" customHeight="1"/>
    <x:row r="53" ht="13.949999809265137" customHeight="1"/>
    <x:row r="54" ht="13.949999809265137" customHeight="1"/>
    <x:row r="55" ht="13.949999809265137" customHeight="1"/>
    <x:row r="56" ht="13.949999809265137" customHeight="1"/>
    <x:row r="57" ht="13.949999809265137" customHeight="1"/>
    <x:row r="58" ht="13.949999809265137" customHeight="1"/>
    <x:row r="59" ht="13.949999809265137" customHeight="1"/>
    <x:row r="60" ht="13.949999809265137" customHeight="1"/>
    <x:row r="61" ht="13.949999809265137" customHeight="1"/>
    <x:row r="62" ht="13.949999809265137" customHeight="1"/>
    <x:row r="63" ht="13.949999809265137" customHeight="1"/>
    <x:row r="64" ht="13.949999809265137" customHeight="1"/>
    <x:row r="65" ht="13.949999809265137" customHeight="1"/>
    <x:row r="66" ht="13.949999809265137" customHeight="1"/>
    <x:row r="67" ht="13.949999809265137" customHeight="1"/>
    <x:row r="68" ht="13.949999809265137" customHeight="1"/>
    <x:row r="69" ht="13.949999809265137" customHeight="1"/>
    <x:row r="70" ht="13.949999809265137" customHeight="1"/>
    <x:row r="71" ht="13.949999809265137" customHeight="1"/>
    <x:row r="72" ht="13.949999809265137" customHeight="1"/>
    <x:row r="73" ht="13.949999809265137" customHeight="1"/>
    <x:row r="74" ht="13.949999809265137" customHeight="1"/>
    <x:row r="75" ht="13.949999809265137" customHeight="1"/>
    <x:row r="76" ht="13.949999809265137" customHeight="1"/>
    <x:row r="77" ht="13.949999809265137" customHeight="1"/>
    <x:row r="78" ht="13.949999809265137" customHeight="1"/>
    <x:row r="79" ht="13.949999809265137" customHeight="1"/>
    <x:row r="80" ht="13.949999809265137" customHeight="1"/>
    <x:row r="81" ht="13.949999809265137" customHeight="1"/>
    <x:row r="82" ht="13.949999809265137" customHeight="1"/>
    <x:row r="83" ht="13.949999809265137" customHeight="1"/>
    <x:row r="84" ht="13.949999809265137" customHeight="1"/>
    <x:row r="85" ht="13.949999809265137" customHeight="1"/>
    <x:row r="86" ht="13.949999809265137" customHeight="1"/>
    <x:row r="87" ht="13.949999809265137" customHeight="1"/>
    <x:row r="88" ht="13.949999809265137" customHeight="1"/>
    <x:row r="89" ht="13.949999809265137" customHeight="1"/>
    <x:row r="90" ht="13.949999809265137" customHeight="1"/>
    <x:row r="91" ht="13.949999809265137" customHeight="1"/>
    <x:row r="92" ht="13.949999809265137" customHeight="1"/>
    <x:row r="93" ht="13.949999809265137" customHeight="1"/>
    <x:row r="94" ht="13.949999809265137" customHeight="1"/>
    <x:row r="95" ht="13.949999809265137" customHeight="1"/>
    <x:row r="96" ht="13.949999809265137" customHeight="1"/>
    <x:row r="97" ht="13.949999809265137" customHeight="1"/>
    <x:row r="98" ht="13.949999809265137" customHeight="1"/>
    <x:row r="99" ht="13.949999809265137" customHeight="1"/>
    <x:row r="100" ht="13.949999809265137" customHeight="1"/>
    <x:row r="101" ht="13.949999809265137" customHeight="1"/>
    <x:row r="102" ht="13.949999809265137" customHeight="1"/>
    <x:row r="103" ht="13.949999809265137" customHeight="1"/>
    <x:row r="104" ht="13.949999809265137" customHeight="1"/>
    <x:row r="105" ht="13.949999809265137" customHeight="1"/>
    <x:row r="106" ht="13.949999809265137" customHeight="1"/>
    <x:row r="107" ht="13.949999809265137" customHeight="1"/>
    <x:row r="108" ht="13.949999809265137" customHeight="1"/>
    <x:row r="109" ht="13.949999809265137" customHeight="1"/>
    <x:row r="110" ht="13.949999809265137" customHeight="1"/>
    <x:row r="111" ht="13.949999809265137" customHeight="1"/>
    <x:row r="112" ht="13.949999809265137" customHeight="1"/>
    <x:row r="113" ht="13.949999809265137" customHeight="1"/>
    <x:row r="114" ht="13.949999809265137" customHeight="1"/>
    <x:row r="115" ht="13.949999809265137" customHeight="1"/>
    <x:row r="116" ht="13.949999809265137" customHeight="1"/>
    <x:row r="117" ht="13.949999809265137" customHeight="1"/>
    <x:row r="118" ht="13.949999809265137" customHeight="1"/>
    <x:row r="119" ht="13.949999809265137" customHeight="1"/>
    <x:row r="120" ht="13.949999809265137" customHeight="1"/>
    <x:row r="121" ht="13.949999809265137" customHeight="1"/>
    <x:row r="122" ht="13.949999809265137" customHeight="1"/>
    <x:row r="123" ht="13.949999809265137" customHeight="1"/>
    <x:row r="124" ht="13.949999809265137" customHeight="1"/>
    <x:row r="125" ht="13.949999809265137" customHeight="1"/>
    <x:row r="126" ht="13.949999809265137" customHeight="1"/>
    <x:row r="127" ht="13.949999809265137" customHeight="1"/>
    <x:row r="128" ht="13.949999809265137" customHeight="1"/>
    <x:row r="129" ht="13.949999809265137" customHeight="1"/>
    <x:row r="130" ht="13.949999809265137" customHeight="1"/>
    <x:row r="131" ht="13.949999809265137" customHeight="1"/>
    <x:row r="132" ht="13.949999809265137" customHeight="1"/>
    <x:row r="133" ht="13.949999809265137" customHeight="1"/>
    <x:row r="134" ht="13.949999809265137" customHeight="1"/>
    <x:row r="135" ht="13.949999809265137" customHeight="1"/>
    <x:row r="136" ht="13.949999809265137" customHeight="1"/>
    <x:row r="137" ht="13.949999809265137" customHeight="1"/>
    <x:row r="138" ht="13.949999809265137" customHeight="1"/>
    <x:row r="139" ht="13.949999809265137" customHeight="1"/>
    <x:row r="140" ht="13.949999809265137" customHeight="1"/>
    <x:row r="141" ht="13.949999809265137" customHeight="1"/>
    <x:row r="142" ht="13.949999809265137" customHeight="1"/>
    <x:row r="143" ht="13.949999809265137" customHeight="1"/>
    <x:row r="144" ht="13.949999809265137" customHeight="1"/>
    <x:row r="145" ht="13.949999809265137" customHeight="1"/>
    <x:row r="146" ht="13.949999809265137" customHeight="1"/>
    <x:row r="147" ht="13.949999809265137" customHeight="1"/>
    <x:row r="148" ht="13.949999809265137" customHeight="1"/>
    <x:row r="149" ht="13.949999809265137" customHeight="1"/>
    <x:row r="150" ht="13.949999809265137" customHeight="1"/>
    <x:row r="151" ht="13.949999809265137" customHeight="1"/>
  </x:sheetData>
  <x:mergeCells>
    <x:mergeCell ref="W12:X12"/>
    <x:mergeCell ref="Y12:Z12"/>
    <x:mergeCell ref="T18:U18"/>
    <x:mergeCell ref="Z16:AA16"/>
    <x:mergeCell ref="D20:E20"/>
    <x:mergeCell ref="F20:G20"/>
    <x:mergeCell ref="AC14:AD14"/>
    <x:mergeCell ref="AE14:AF14"/>
    <x:mergeCell ref="AE19:AF19"/>
    <x:mergeCell ref="L18:M18"/>
    <x:mergeCell ref="R18:S18"/>
    <x:mergeCell ref="N18:O18"/>
    <x:mergeCell ref="X19:Y19"/>
    <x:mergeCell ref="Z19:AA19"/>
    <x:mergeCell ref="AC11:AD11"/>
    <x:mergeCell ref="AE11:AF11"/>
    <x:mergeCell ref="K12:L12"/>
    <x:mergeCell ref="M12:N12"/>
    <x:mergeCell ref="W3:X3"/>
    <x:mergeCell ref="Y3:Z3"/>
    <x:mergeCell ref="Q12:R12"/>
    <x:mergeCell ref="S12:T12"/>
    <x:mergeCell ref="W6:X6"/>
    <x:mergeCell ref="Y6:Z6"/>
    <x:mergeCell ref="Y9:Z9"/>
    <x:mergeCell ref="K3:L3"/>
    <x:mergeCell ref="M3:N3"/>
    <x:mergeCell ref="K6:L6"/>
    <x:mergeCell ref="M6:N6"/>
    <x:mergeCell ref="W9:X9"/>
    <x:mergeCell ref="M9:N9"/>
    <x:mergeCell ref="Q6:R6"/>
    <x:mergeCell ref="S6:T6"/>
    <x:mergeCell ref="D17:E17"/>
    <x:mergeCell ref="F17:G17"/>
    <x:mergeCell ref="E5:F5"/>
    <x:mergeCell ref="G5:H5"/>
    <x:mergeCell ref="E8:F8"/>
    <x:mergeCell ref="G8:H8"/>
    <x:mergeCell ref="K9:L9"/>
    <x:mergeCell ref="Z22:AA22"/>
    <x:mergeCell ref="X25:Y25"/>
    <x:mergeCell ref="Z25:AA25"/>
    <x:mergeCell ref="AE22:AF22"/>
    <x:mergeCell ref="AC22:AD22"/>
  </x:mergeCells>
  <x:conditionalFormatting sqref="C10:C10">
    <x:cfRule type="expression" priority="1">
      <x:formula>"Y($C$10="" "";Caminocrítico!$S$6=0)"</x:formula>
    </x:cfRule>
  </x:conditionalFormatting>
  <x:pageMargins left="0.7" right="0.7" top="0.75" bottom="0.75" header="0.3" footer="0.3"/>
  <x:drawing xmlns:r="http://schemas.openxmlformats.org/officeDocument/2006/relationships" r:id="R21f75d9745a844ca"/>
</x:worksheet>
</file>